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hopping_List" sheetId="2" state="visible" r:id="rId2"/>
    <sheet xmlns:r="http://schemas.openxmlformats.org/officeDocument/2006/relationships" name="Layer_Mapping_Guide" sheetId="3" state="visible" r:id="rId3"/>
    <sheet xmlns:r="http://schemas.openxmlformats.org/officeDocument/2006/relationships" name="Budget_Phases" sheetId="4" state="visible" r:id="rId4"/>
    <sheet xmlns:r="http://schemas.openxmlformats.org/officeDocument/2006/relationships" name="Testing_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0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sz val="10"/>
    </font>
    <font>
      <b val="1"/>
      <color rgb="001F4E79"/>
      <sz val="11"/>
    </font>
    <font>
      <b val="1"/>
      <color rgb="00FFFFFF"/>
      <sz val="11"/>
    </font>
    <font>
      <b val="1"/>
      <color rgb="001F4E79"/>
      <sz val="16"/>
    </font>
    <font>
      <i val="1"/>
      <sz val="9"/>
    </font>
    <font>
      <b val="1"/>
    </font>
    <font>
      <i val="1"/>
      <color rgb="00666666"/>
      <sz val="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9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pivotButton="0" quotePrefix="0" xfId="0"/>
    <xf numFmtId="164" fontId="0" fillId="0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164" fontId="7" fillId="5" borderId="0" pivotButton="0" quotePrefix="0" xfId="0"/>
    <xf numFmtId="0" fontId="3" fillId="5" borderId="0" pivotButton="0" quotePrefix="0" xfId="0"/>
    <xf numFmtId="0" fontId="3" fillId="7" borderId="0" pivotButton="0" quotePrefix="0" xfId="0"/>
    <xf numFmtId="0" fontId="3" fillId="6" borderId="0" pivotButton="0" quotePrefix="0" xfId="0"/>
    <xf numFmtId="0" fontId="5" fillId="0" borderId="0" pivotButton="0" quotePrefix="0" xfId="0"/>
    <xf numFmtId="165" fontId="0" fillId="4" borderId="0" pivotButton="0" quotePrefix="0" xfId="0"/>
    <xf numFmtId="164" fontId="0" fillId="0" borderId="0" pivotButton="0" quotePrefix="0" xfId="0"/>
    <xf numFmtId="164" fontId="0" fillId="8" borderId="0" pivotButton="0" quotePrefix="0" xfId="0"/>
    <xf numFmtId="0" fontId="4" fillId="3" borderId="1" pivotButton="0" quotePrefix="0" xfId="0"/>
    <xf numFmtId="165" fontId="0" fillId="4" borderId="1" pivotButton="0" quotePrefix="0" xfId="0"/>
    <xf numFmtId="0" fontId="8" fillId="0" borderId="0" pivotButton="0" quotePrefix="0" xfId="0"/>
    <xf numFmtId="0" fontId="0" fillId="5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7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75" customWidth="1" min="3" max="3"/>
    <col width="12" customWidth="1" min="4" max="4"/>
    <col width="12" customWidth="1" min="5" max="5"/>
    <col width="10" customWidth="1" min="6" max="6"/>
    <col width="30" customWidth="1" min="7" max="7"/>
  </cols>
  <sheetData>
    <row r="1">
      <c r="A1" s="1" t="inlineStr">
        <is>
          <t>🚀 REFLEXKERNEL-ALIGNED AUTONOMIC SENSOR PLATFORM TRACKER</t>
        </is>
      </c>
    </row>
    <row r="2">
      <c r="A2" s="2" t="inlineStr">
        <is>
          <t>Hardware Layer for ReflexKernel v0.1+  |  Created: June 07, 2026  |  "Saddle Intelligences" Vision</t>
        </is>
      </c>
    </row>
    <row r="4">
      <c r="A4" s="3" t="inlineStr">
        <is>
          <t>PROJECT VISION &amp; ALIGNMENT</t>
        </is>
      </c>
    </row>
    <row r="5">
      <c r="A5" s="4" t="inlineStr">
        <is>
          <t>Goal: Build the physical/hardware autonomic nervous system layer that feeds ReflexKernel (or equivalent software embodiment system).
This hardware provides real-world Perception (tactile, motion, audio, biometrics, environment) and Output/Actuation (physical expression of reflexes).
Long-term: The full system (hardware + ReflexKernel) becomes a "saddle" — a grounded body that higher Intelligences (LLMs, agents, eventually custom AIs) can interface with, teach, and inhabit.
Key ReflexKernel mappings: FSRs + MPU6050 + Mic → fast reflexes (flinch, orient, tension, freeze). Biometrics → affective state. Vibration/LEDs/Servo → physical expression of VirtualBody.
Phased build: Start with high-signal Perception sensors → Add affective biometrics → Add Output actuators → Integrate with ReflexKernel software layer.</t>
        </is>
      </c>
    </row>
    <row r="6"/>
    <row r="7"/>
    <row r="8"/>
    <row r="10">
      <c r="A10" s="3" t="inlineStr">
        <is>
          <t>KEY MILESTONES (ReflexKernel Integration Focus)</t>
        </is>
      </c>
    </row>
    <row r="11">
      <c r="A11" s="5" t="inlineStr">
        <is>
          <t>ID</t>
        </is>
      </c>
      <c r="B11" s="5" t="inlineStr">
        <is>
          <t>Milestone</t>
        </is>
      </c>
      <c r="C11" s="5" t="inlineStr">
        <is>
          <t>Success Criteria (ReflexKernel-aligned)</t>
        </is>
      </c>
      <c r="D11" s="5" t="inlineStr">
        <is>
          <t>Status</t>
        </is>
      </c>
      <c r="E11" s="5" t="inlineStr">
        <is>
          <t>Target Date</t>
        </is>
      </c>
      <c r="F11" s="5" t="inlineStr">
        <is>
          <t>Actual</t>
        </is>
      </c>
      <c r="G11" s="5" t="inlineStr">
        <is>
          <t>Notes</t>
        </is>
      </c>
    </row>
    <row r="12">
      <c r="A12" s="6" t="inlineStr">
        <is>
          <t>M1</t>
        </is>
      </c>
      <c r="B12" s="6" t="inlineStr">
        <is>
          <t>Core Perception Online</t>
        </is>
      </c>
      <c r="C12" s="7" t="inlineStr">
        <is>
          <t>FSR array + MPU6050 + Mic reading cleanly into structured JSON on ESP32/Pi</t>
        </is>
      </c>
      <c r="D12" s="8" t="inlineStr">
        <is>
          <t>To Do</t>
        </is>
      </c>
      <c r="E12" s="8" t="inlineStr"/>
      <c r="F12" s="8" t="inlineStr"/>
      <c r="G12" s="8" t="inlineStr"/>
    </row>
    <row r="13">
      <c r="A13" s="6" t="inlineStr">
        <is>
          <t>M2</t>
        </is>
      </c>
      <c r="B13" s="6" t="inlineStr">
        <is>
          <t>First Reflex Mapping</t>
        </is>
      </c>
      <c r="C13" s="7" t="inlineStr">
        <is>
          <t>Real sensor events trigger appropriate reflex primitives in simulation (flinch on sudden pressure/sound)</t>
        </is>
      </c>
      <c r="D13" s="8" t="inlineStr">
        <is>
          <t>To Do</t>
        </is>
      </c>
      <c r="E13" s="8" t="inlineStr"/>
      <c r="F13" s="8" t="inlineStr"/>
      <c r="G13" s="8" t="inlineStr"/>
    </row>
    <row r="14">
      <c r="A14" s="6" t="inlineStr">
        <is>
          <t>M3</t>
        </is>
      </c>
      <c r="B14" s="6" t="inlineStr">
        <is>
          <t>Affective Layer Added</t>
        </is>
      </c>
      <c r="C14" s="7" t="inlineStr">
        <is>
          <t>MAX30102 + GSR feeding arousal/valence estimates into Thought/Emotion Bridge</t>
        </is>
      </c>
      <c r="D14" s="8" t="inlineStr">
        <is>
          <t>To Do</t>
        </is>
      </c>
      <c r="E14" s="8" t="inlineStr"/>
      <c r="F14" s="8" t="inlineStr"/>
      <c r="G14" s="8" t="inlineStr"/>
    </row>
    <row r="15">
      <c r="A15" s="6" t="inlineStr">
        <is>
          <t>M4</t>
        </is>
      </c>
      <c r="B15" s="6" t="inlineStr">
        <is>
          <t>Physical Output Working</t>
        </is>
      </c>
      <c r="C15" s="7" t="inlineStr">
        <is>
          <t>Vibration motors + LEDs expressing reflexes (flinch = vibration burst, tension = LED intensity)</t>
        </is>
      </c>
      <c r="D15" s="8" t="inlineStr">
        <is>
          <t>To Do</t>
        </is>
      </c>
      <c r="E15" s="8" t="inlineStr"/>
      <c r="F15" s="8" t="inlineStr"/>
      <c r="G15" s="8" t="inlineStr"/>
    </row>
    <row r="16">
      <c r="A16" s="6" t="inlineStr">
        <is>
          <t>M5</t>
        </is>
      </c>
      <c r="B16" s="6" t="inlineStr">
        <is>
          <t>ReflexKernel Integration Start</t>
        </is>
      </c>
      <c r="C16" s="7" t="inlineStr">
        <is>
          <t>Hardware data flowing into ReflexKernel Perception layer (or compatible interface)</t>
        </is>
      </c>
      <c r="D16" s="8" t="inlineStr">
        <is>
          <t>To Do</t>
        </is>
      </c>
      <c r="E16" s="8" t="inlineStr"/>
      <c r="F16" s="8" t="inlineStr"/>
      <c r="G16" s="8" t="inlineStr"/>
    </row>
    <row r="17">
      <c r="A17" s="6" t="inlineStr">
        <is>
          <t>M6</t>
        </is>
      </c>
      <c r="B17" s="6" t="inlineStr">
        <is>
          <t>Teaching Loop Closed</t>
        </is>
      </c>
      <c r="C17" s="7" t="inlineStr">
        <is>
          <t>Higher intelligence (Python agent or local LLM) can send seeds/rewards and see hardware respond</t>
        </is>
      </c>
      <c r="D17" s="8" t="inlineStr">
        <is>
          <t>To Do</t>
        </is>
      </c>
      <c r="E17" s="8" t="inlineStr"/>
      <c r="F17" s="8" t="inlineStr"/>
      <c r="G17" s="8" t="inlineStr"/>
    </row>
    <row r="18">
      <c r="A18" s="6" t="inlineStr">
        <is>
          <t>M7</t>
        </is>
      </c>
      <c r="B18" s="6" t="inlineStr">
        <is>
          <t>Portable Node</t>
        </is>
      </c>
      <c r="C18" s="7" t="inlineStr">
        <is>
          <t>Battery-powered wearable/sensor node with wireless data + local logging</t>
        </is>
      </c>
      <c r="D18" s="8" t="inlineStr">
        <is>
          <t>To Do</t>
        </is>
      </c>
      <c r="E18" s="8" t="inlineStr"/>
      <c r="F18" s="8" t="inlineStr"/>
      <c r="G18" s="8" t="inlineStr"/>
    </row>
    <row r="19">
      <c r="A19" s="6" t="inlineStr">
        <is>
          <t>M8</t>
        </is>
      </c>
      <c r="B19" s="6" t="inlineStr">
        <is>
          <t>Full Saddle Prototype</t>
        </is>
      </c>
      <c r="C19" s="7" t="inlineStr">
        <is>
          <t>End-to-end: Real sensors → ReflexKernel → Local LLM/agent interface with persistent learning</t>
        </is>
      </c>
      <c r="D19" s="8" t="inlineStr">
        <is>
          <t>To Do</t>
        </is>
      </c>
      <c r="E19" s="8" t="inlineStr"/>
      <c r="F19" s="8" t="inlineStr"/>
      <c r="G19" s="8" t="inlineStr"/>
    </row>
    <row r="21">
      <c r="A21" s="3" t="inlineStr">
        <is>
          <t>PROGRESS</t>
        </is>
      </c>
    </row>
    <row r="22">
      <c r="A22" t="inlineStr">
        <is>
          <t>Completed:</t>
        </is>
      </c>
      <c r="B22">
        <f>COUNTIF(D12:D19,"Done")</f>
        <v/>
      </c>
      <c r="C22" t="inlineStr">
        <is>
          <t>/ 8</t>
        </is>
      </c>
    </row>
    <row r="23">
      <c r="A23" t="inlineStr">
        <is>
          <t>Progress:</t>
        </is>
      </c>
      <c r="B23" s="9">
        <f>B22/8</f>
        <v/>
      </c>
    </row>
    <row r="25">
      <c r="A25" s="3" t="inlineStr">
        <is>
          <t>QUICK REFERENCE - ReflexKernel Layer Mapping</t>
        </is>
      </c>
    </row>
    <row r="26">
      <c r="A26" t="inlineStr">
        <is>
          <t>Perception Layer (High Priority): FSR (tactile/contact), MPU6050 (motion/orient), Microphone (sudden sound), DHT22 (context)</t>
        </is>
      </c>
    </row>
    <row r="27">
      <c r="A27" t="inlineStr">
        <is>
          <t>Affective / Thought Bridge: MAX30102 (HRV/arousal), GSR (skin conductance)</t>
        </is>
      </c>
    </row>
    <row r="28">
      <c r="A28" t="inlineStr">
        <is>
          <t>Output / Actuation Layer: Vibration motors (flinch/tension), NeoPixel LEDs (state expression), Servo (orient/posture)</t>
        </is>
      </c>
    </row>
    <row r="29">
      <c r="A29" t="inlineStr">
        <is>
          <t>Core Platform: Raspberry Pi 5 (run ReflexKernel), ESP32 (sensor hub + low-level output)</t>
        </is>
      </c>
    </row>
    <row r="31">
      <c r="A31" s="31" t="inlineStr">
        <is>
          <t>See 'Testing_Checklist' tab for detailed test procedures aligned to each milestone.</t>
        </is>
      </c>
    </row>
  </sheetData>
  <mergeCells count="3">
    <mergeCell ref="A1:J1"/>
    <mergeCell ref="A5:J8"/>
    <mergeCell ref="A2:J2"/>
  </mergeCells>
  <dataValidations count="1">
    <dataValidation sqref="D12:D19" showDropDown="0" showInputMessage="0" showErrorMessage="0" allowBlank="1" type="list">
      <formula1>"To Do,In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55" customWidth="1" min="4" max="4"/>
    <col width="5" customWidth="1" min="5" max="5"/>
    <col width="11" customWidth="1" min="6" max="6"/>
    <col width="11" customWidth="1" min="7" max="7"/>
    <col width="18" customWidth="1" min="8" max="8"/>
    <col width="10" customWidth="1" min="9" max="9"/>
    <col width="11" customWidth="1" min="10" max="10"/>
    <col width="11" customWidth="1" min="11" max="11"/>
    <col width="12" customWidth="1" min="12" max="12"/>
    <col width="28" customWidth="1" min="13" max="13"/>
    <col width="40" customWidth="1" min="14" max="14"/>
  </cols>
  <sheetData>
    <row r="1">
      <c r="A1" s="10" t="inlineStr">
        <is>
          <t>🛒 REVISED SHOPPING LIST — ReflexKernel Perception + Output Aligned</t>
        </is>
      </c>
    </row>
    <row r="2">
      <c r="A2" s="11" t="inlineStr">
        <is>
          <t>Layer colors: Blue = Perception | Orange = Output/Actuation | Green = Core Platform | Yellow = Affective | Update yellow cells as you source.</t>
        </is>
      </c>
    </row>
    <row r="4">
      <c r="A4" s="5" t="inlineStr">
        <is>
          <t>Priority</t>
        </is>
      </c>
      <c r="B4" s="5" t="inlineStr">
        <is>
          <t>Layer</t>
        </is>
      </c>
      <c r="C4" s="5" t="inlineStr">
        <is>
          <t>Component</t>
        </is>
      </c>
      <c r="D4" s="5" t="inlineStr">
        <is>
          <t>Description / ReflexKernel Value</t>
        </is>
      </c>
      <c r="E4" s="5" t="inlineStr">
        <is>
          <t>Qty</t>
        </is>
      </c>
      <c r="F4" s="5" t="inlineStr">
        <is>
          <t>Est. Unit $</t>
        </is>
      </c>
      <c r="G4" s="5" t="inlineStr">
        <is>
          <t>Est. Total $</t>
        </is>
      </c>
      <c r="H4" s="5" t="inlineStr">
        <is>
          <t>Source</t>
        </is>
      </c>
      <c r="I4" s="5" t="inlineStr">
        <is>
          <t>Status</t>
        </is>
      </c>
      <c r="J4" s="5" t="inlineStr">
        <is>
          <t>Actual Unit $</t>
        </is>
      </c>
      <c r="K4" s="5" t="inlineStr">
        <is>
          <t>Actual Total $</t>
        </is>
      </c>
      <c r="L4" s="5" t="inlineStr">
        <is>
          <t>Date Received</t>
        </is>
      </c>
      <c r="M4" s="5" t="inlineStr">
        <is>
          <t>Reflex Mapping</t>
        </is>
      </c>
      <c r="N4" s="5" t="inlineStr">
        <is>
          <t>Notes / Integration Ideas</t>
        </is>
      </c>
    </row>
    <row r="5">
      <c r="A5" s="12" t="n">
        <v>1</v>
      </c>
      <c r="B5" s="13" t="inlineStr">
        <is>
          <t>Perception</t>
        </is>
      </c>
      <c r="C5" s="6" t="inlineStr">
        <is>
          <t>FSR Force Sensitive Resistor (0.5" round)</t>
        </is>
      </c>
      <c r="D5" s="7" t="inlineStr">
        <is>
          <t>Primary tactile/contact sensing. High-signal input for flinch &amp; tension reflexes.</t>
        </is>
      </c>
      <c r="E5" s="14" t="n">
        <v>4</v>
      </c>
      <c r="F5" s="15" t="n">
        <v>6</v>
      </c>
      <c r="G5" s="16">
        <f>E5*F5</f>
        <v/>
      </c>
      <c r="H5" s="6" t="inlineStr">
        <is>
          <t>Amazon/Adafruit</t>
        </is>
      </c>
      <c r="I5" s="8" t="inlineStr">
        <is>
          <t>To Buy</t>
        </is>
      </c>
      <c r="J5" s="15" t="inlineStr"/>
      <c r="K5" s="16">
        <f>IF(J5="","",E5*J5)</f>
        <v/>
      </c>
      <c r="L5" s="8" t="inlineStr"/>
      <c r="M5" s="7" t="inlineStr">
        <is>
          <t>flinch, tension, contact events</t>
        </is>
      </c>
      <c r="N5" s="7" t="inlineStr">
        <is>
          <t>Buy 4 for multi-point array. Voltage divider with 10k resistor.</t>
        </is>
      </c>
    </row>
    <row r="6">
      <c r="A6" s="12" t="n">
        <v>1</v>
      </c>
      <c r="B6" s="13" t="inlineStr">
        <is>
          <t>Perception</t>
        </is>
      </c>
      <c r="C6" s="6" t="inlineStr">
        <is>
          <t>MPU6050 6-Axis Accel/Gyro (GY-521)</t>
        </is>
      </c>
      <c r="D6" s="7" t="inlineStr">
        <is>
          <t>Motion, sudden movement, orientation. Excellent for orient, freeze, posture context.</t>
        </is>
      </c>
      <c r="E6" s="14" t="n">
        <v>1</v>
      </c>
      <c r="F6" s="15" t="n">
        <v>4</v>
      </c>
      <c r="G6" s="16">
        <f>E6*F6</f>
        <v/>
      </c>
      <c r="H6" s="6" t="inlineStr">
        <is>
          <t>Amazon</t>
        </is>
      </c>
      <c r="I6" s="8" t="inlineStr">
        <is>
          <t>To Buy</t>
        </is>
      </c>
      <c r="J6" s="15" t="inlineStr"/>
      <c r="K6" s="16">
        <f>IF(J6="","",E6*J6)</f>
        <v/>
      </c>
      <c r="L6" s="8" t="inlineStr"/>
      <c r="M6" s="7" t="inlineStr">
        <is>
          <t>orient, freeze, motion signature</t>
        </is>
      </c>
      <c r="N6" s="7" t="inlineStr">
        <is>
          <t>I2C. Very reliable and cheap.</t>
        </is>
      </c>
    </row>
    <row r="7">
      <c r="A7" s="12" t="n">
        <v>1</v>
      </c>
      <c r="B7" s="13" t="inlineStr">
        <is>
          <t>Perception</t>
        </is>
      </c>
      <c r="C7" s="6" t="inlineStr">
        <is>
          <t>Microphone Module (MAX9814 or KY-038)</t>
        </is>
      </c>
      <c r="D7" s="7" t="inlineStr">
        <is>
          <t>Detect sudden loud sounds. Critical for believable startle/flinch reflex.</t>
        </is>
      </c>
      <c r="E7" s="14" t="n">
        <v>1</v>
      </c>
      <c r="F7" s="15" t="n">
        <v>5</v>
      </c>
      <c r="G7" s="16">
        <f>E7*F7</f>
        <v/>
      </c>
      <c r="H7" s="6" t="inlineStr">
        <is>
          <t>Amazon</t>
        </is>
      </c>
      <c r="I7" s="8" t="inlineStr">
        <is>
          <t>To Buy</t>
        </is>
      </c>
      <c r="J7" s="15" t="inlineStr"/>
      <c r="K7" s="16">
        <f>IF(J7="","",E7*J7)</f>
        <v/>
      </c>
      <c r="L7" s="8" t="inlineStr"/>
      <c r="M7" s="7" t="inlineStr">
        <is>
          <t>flinch (sudden_loud), audio context</t>
        </is>
      </c>
      <c r="N7" s="7" t="inlineStr">
        <is>
          <t>MAX9814 preferred (better AGC). Maps directly to startle primitive.</t>
        </is>
      </c>
    </row>
    <row r="8">
      <c r="A8" s="12" t="n">
        <v>1</v>
      </c>
      <c r="B8" s="13" t="inlineStr">
        <is>
          <t>Perception</t>
        </is>
      </c>
      <c r="C8" s="6" t="inlineStr">
        <is>
          <t>DHT22 Temp &amp; Humidity Sensor</t>
        </is>
      </c>
      <c r="D8" s="7" t="inlineStr">
        <is>
          <t>Environmental + body temperature context. Useful for affective fusion.</t>
        </is>
      </c>
      <c r="E8" s="14" t="n">
        <v>2</v>
      </c>
      <c r="F8" s="15" t="n">
        <v>5</v>
      </c>
      <c r="G8" s="16">
        <f>E8*F8</f>
        <v/>
      </c>
      <c r="H8" s="6" t="inlineStr">
        <is>
          <t>Amazon</t>
        </is>
      </c>
      <c r="I8" s="8" t="inlineStr">
        <is>
          <t>To Buy</t>
        </is>
      </c>
      <c r="J8" s="15" t="inlineStr"/>
      <c r="K8" s="16">
        <f>IF(J8="","",E8*J8)</f>
        <v/>
      </c>
      <c r="L8" s="8" t="inlineStr"/>
      <c r="M8" s="7" t="inlineStr">
        <is>
          <t>affective context, environmental state</t>
        </is>
      </c>
      <c r="N8" s="7" t="inlineStr">
        <is>
          <t>One near body, one ambient. Easy 1-wire.</t>
        </is>
      </c>
    </row>
    <row r="9">
      <c r="A9" s="12" t="n">
        <v>2</v>
      </c>
      <c r="B9" s="17" t="inlineStr">
        <is>
          <t>Affective</t>
        </is>
      </c>
      <c r="C9" s="6" t="inlineStr">
        <is>
          <t>MAX30102 Pulse/HR/SpO2 Module</t>
        </is>
      </c>
      <c r="D9" s="7" t="inlineStr">
        <is>
          <t>Heart rate variability as arousal proxy. Strong input for Thought/Emotion Bridge.</t>
        </is>
      </c>
      <c r="E9" s="14" t="n">
        <v>1</v>
      </c>
      <c r="F9" s="15" t="n">
        <v>8</v>
      </c>
      <c r="G9" s="16">
        <f>E9*F9</f>
        <v/>
      </c>
      <c r="H9" s="6" t="inlineStr">
        <is>
          <t>Amazon/AliExpress</t>
        </is>
      </c>
      <c r="I9" s="8" t="inlineStr">
        <is>
          <t>To Buy</t>
        </is>
      </c>
      <c r="J9" s="15" t="inlineStr"/>
      <c r="K9" s="16">
        <f>IF(J9="","",E9*J9)</f>
        <v/>
      </c>
      <c r="L9" s="8" t="inlineStr"/>
      <c r="M9" s="7" t="inlineStr">
        <is>
          <t>arousal estimation, affective state</t>
        </is>
      </c>
      <c r="N9" s="7" t="inlineStr">
        <is>
          <t>I2C. Use good library (SparkFun/Adafruit).</t>
        </is>
      </c>
    </row>
    <row r="10">
      <c r="A10" s="12" t="n">
        <v>2</v>
      </c>
      <c r="B10" s="17" t="inlineStr">
        <is>
          <t>Affective</t>
        </is>
      </c>
      <c r="C10" s="6" t="inlineStr">
        <is>
          <t>GSR / Galvanic Skin Response Module</t>
        </is>
      </c>
      <c r="D10" s="7" t="inlineStr">
        <is>
          <t>Skin conductance = emotional arousal/valence signal. Excellent affective modality.</t>
        </is>
      </c>
      <c r="E10" s="14" t="n">
        <v>1</v>
      </c>
      <c r="F10" s="15" t="n">
        <v>8</v>
      </c>
      <c r="G10" s="16">
        <f>E10*F10</f>
        <v/>
      </c>
      <c r="H10" s="6" t="inlineStr">
        <is>
          <t>Seeed/Amazon</t>
        </is>
      </c>
      <c r="I10" s="8" t="inlineStr">
        <is>
          <t>To Buy</t>
        </is>
      </c>
      <c r="J10" s="15" t="inlineStr"/>
      <c r="K10" s="16">
        <f>IF(J10="","",E10*J10)</f>
        <v/>
      </c>
      <c r="L10" s="8" t="inlineStr"/>
      <c r="M10" s="7" t="inlineStr">
        <is>
          <t>arousal, valence, emotional intensity</t>
        </is>
      </c>
      <c r="N10" s="7" t="inlineStr">
        <is>
          <t>Calibrate baseline. Pairs well with HRV.</t>
        </is>
      </c>
    </row>
    <row r="11">
      <c r="A11" s="12" t="n">
        <v>2</v>
      </c>
      <c r="B11" s="18" t="inlineStr">
        <is>
          <t>Core Platform</t>
        </is>
      </c>
      <c r="C11" s="6" t="inlineStr">
        <is>
          <t>Raspberry Pi 5 (4GB or 8GB)</t>
        </is>
      </c>
      <c r="D11" s="7" t="inlineStr">
        <is>
          <t>Main brain to run ReflexKernel software layer + data processing.</t>
        </is>
      </c>
      <c r="E11" s="14" t="n">
        <v>1</v>
      </c>
      <c r="F11" s="15" t="n">
        <v>85</v>
      </c>
      <c r="G11" s="16">
        <f>E11*F11</f>
        <v/>
      </c>
      <c r="H11" s="6" t="inlineStr">
        <is>
          <t>Official/reseller</t>
        </is>
      </c>
      <c r="I11" s="8" t="inlineStr">
        <is>
          <t>To Buy</t>
        </is>
      </c>
      <c r="J11" s="15" t="inlineStr"/>
      <c r="K11" s="16">
        <f>IF(J11="","",E11*J11)</f>
        <v/>
      </c>
      <c r="L11" s="8" t="inlineStr"/>
      <c r="M11" s="7" t="inlineStr">
        <is>
          <t>Hosts ReflexKernel + saddle interface</t>
        </is>
      </c>
      <c r="N11" s="7" t="inlineStr">
        <is>
          <t>Prioritize if budget allows. Run full kernel here.</t>
        </is>
      </c>
    </row>
    <row r="12">
      <c r="A12" s="12" t="n">
        <v>2</v>
      </c>
      <c r="B12" s="18" t="inlineStr">
        <is>
          <t>Core Platform</t>
        </is>
      </c>
      <c r="C12" s="6" t="inlineStr">
        <is>
          <t>ESP32 DevKit V1</t>
        </is>
      </c>
      <c r="D12" s="7" t="inlineStr">
        <is>
          <t>Wireless sensor aggregation hub + low-level actuation driver.</t>
        </is>
      </c>
      <c r="E12" s="14" t="n">
        <v>1</v>
      </c>
      <c r="F12" s="15" t="n">
        <v>6</v>
      </c>
      <c r="G12" s="16">
        <f>E12*F12</f>
        <v/>
      </c>
      <c r="H12" s="6" t="inlineStr">
        <is>
          <t>Amazon/AliExpress</t>
        </is>
      </c>
      <c r="I12" s="8" t="inlineStr">
        <is>
          <t>To Buy</t>
        </is>
      </c>
      <c r="J12" s="15" t="inlineStr"/>
      <c r="K12" s="16">
        <f>IF(J12="","",E12*J12)</f>
        <v/>
      </c>
      <c r="L12" s="8" t="inlineStr"/>
      <c r="M12" s="7" t="inlineStr">
        <is>
          <t>Sensor fusion + Output driver</t>
        </is>
      </c>
      <c r="N12" s="7" t="inlineStr">
        <is>
          <t>WiFi/BT. Bridge between sensors and Pi.</t>
        </is>
      </c>
    </row>
    <row r="13">
      <c r="A13" s="12" t="n">
        <v>3</v>
      </c>
      <c r="B13" s="19" t="inlineStr">
        <is>
          <t>Output</t>
        </is>
      </c>
      <c r="C13" s="6" t="inlineStr">
        <is>
          <t>Vibration Motor / Haptic Actuator</t>
        </is>
      </c>
      <c r="D13" s="7" t="inlineStr">
        <is>
          <t>Physical expression of flinch, tension, startle. Makes reflexes felt.</t>
        </is>
      </c>
      <c r="E13" s="14" t="n">
        <v>3</v>
      </c>
      <c r="F13" s="15" t="n">
        <v>3</v>
      </c>
      <c r="G13" s="16">
        <f>E13*F13</f>
        <v/>
      </c>
      <c r="H13" s="6" t="inlineStr">
        <is>
          <t>Amazon</t>
        </is>
      </c>
      <c r="I13" s="8" t="inlineStr">
        <is>
          <t>To Buy</t>
        </is>
      </c>
      <c r="J13" s="15" t="inlineStr"/>
      <c r="K13" s="16">
        <f>IF(J13="","",E13*J13)</f>
        <v/>
      </c>
      <c r="L13" s="8" t="inlineStr"/>
      <c r="M13" s="7" t="inlineStr">
        <is>
          <t>flinch, tension (physical output)</t>
        </is>
      </c>
      <c r="N13" s="7" t="inlineStr">
        <is>
          <t>Drive via MOSFET or motor driver. Map intensity to reflex strength.</t>
        </is>
      </c>
    </row>
    <row r="14">
      <c r="A14" s="12" t="n">
        <v>3</v>
      </c>
      <c r="B14" s="19" t="inlineStr">
        <is>
          <t>Output</t>
        </is>
      </c>
      <c r="C14" s="6" t="inlineStr">
        <is>
          <t>NeoPixel / Addressable LED (short strip or ring)</t>
        </is>
      </c>
      <c r="D14" s="7" t="inlineStr">
        <is>
          <t>Visual state expression. Color/intensity = arousal, valence, tension level.</t>
        </is>
      </c>
      <c r="E14" s="14" t="n">
        <v>1</v>
      </c>
      <c r="F14" s="15" t="n">
        <v>10</v>
      </c>
      <c r="G14" s="16">
        <f>E14*F14</f>
        <v/>
      </c>
      <c r="H14" s="6" t="inlineStr">
        <is>
          <t>Adafruit/Amazon</t>
        </is>
      </c>
      <c r="I14" s="8" t="inlineStr">
        <is>
          <t>To Buy</t>
        </is>
      </c>
      <c r="J14" s="15" t="inlineStr"/>
      <c r="K14" s="16">
        <f>IF(J14="","",E14*J14)</f>
        <v/>
      </c>
      <c r="L14" s="8" t="inlineStr"/>
      <c r="M14" s="7" t="inlineStr">
        <is>
          <t>state visualization, affective expression</t>
        </is>
      </c>
      <c r="N14" s="7" t="inlineStr">
        <is>
          <t>Easy to drive from ESP32/Arduino. Very expressive.</t>
        </is>
      </c>
    </row>
    <row r="15">
      <c r="A15" s="12" t="n">
        <v>3</v>
      </c>
      <c r="B15" s="19" t="inlineStr">
        <is>
          <t>Output</t>
        </is>
      </c>
      <c r="C15" s="6" t="inlineStr">
        <is>
          <t>SG90 / MG90S Servo (or better)</t>
        </is>
      </c>
      <c r="D15" s="7" t="inlineStr">
        <is>
          <t>Physical orientation or posture change. Maps to orient primitive.</t>
        </is>
      </c>
      <c r="E15" s="14" t="n">
        <v>1</v>
      </c>
      <c r="F15" s="15" t="n">
        <v>5</v>
      </c>
      <c r="G15" s="16">
        <f>E15*F15</f>
        <v/>
      </c>
      <c r="H15" s="6" t="inlineStr">
        <is>
          <t>Amazon</t>
        </is>
      </c>
      <c r="I15" s="8" t="inlineStr">
        <is>
          <t>To Buy</t>
        </is>
      </c>
      <c r="J15" s="15" t="inlineStr"/>
      <c r="K15" s="16">
        <f>IF(J15="","",E15*J15)</f>
        <v/>
      </c>
      <c r="L15" s="8" t="inlineStr"/>
      <c r="M15" s="7" t="inlineStr">
        <is>
          <t>orient, posture expression</t>
        </is>
      </c>
      <c r="N15" s="7" t="inlineStr">
        <is>
          <t>Future Phase 3+. Start with vibration/LEDs first.</t>
        </is>
      </c>
    </row>
    <row r="16">
      <c r="A16" s="12" t="n">
        <v>4</v>
      </c>
      <c r="B16" s="18" t="inlineStr">
        <is>
          <t>Core Platform</t>
        </is>
      </c>
      <c r="C16" s="6" t="inlineStr">
        <is>
          <t>Breadboard 400pt + Jumper Wire Kit</t>
        </is>
      </c>
      <c r="D16" s="7" t="inlineStr">
        <is>
          <t>Essential prototyping foundation.</t>
        </is>
      </c>
      <c r="E16" s="14" t="n">
        <v>1</v>
      </c>
      <c r="F16" s="15" t="n">
        <v>8</v>
      </c>
      <c r="G16" s="16">
        <f>E16*F16</f>
        <v/>
      </c>
      <c r="H16" s="6" t="inlineStr">
        <is>
          <t>Amazon</t>
        </is>
      </c>
      <c r="I16" s="8" t="inlineStr">
        <is>
          <t>To Buy</t>
        </is>
      </c>
      <c r="J16" s="15" t="inlineStr"/>
      <c r="K16" s="16">
        <f>IF(J16="","",E16*J16)</f>
        <v/>
      </c>
      <c r="L16" s="8" t="inlineStr"/>
      <c r="M16" s="7" t="inlineStr">
        <is>
          <t>—</t>
        </is>
      </c>
      <c r="N16" s="7" t="inlineStr">
        <is>
          <t>Get good quality wires.</t>
        </is>
      </c>
    </row>
    <row r="17">
      <c r="A17" s="12" t="n">
        <v>4</v>
      </c>
      <c r="B17" s="18" t="inlineStr">
        <is>
          <t>Core Platform</t>
        </is>
      </c>
      <c r="C17" s="6" t="inlineStr">
        <is>
          <t>MicroSD Module + 16GB+ Card + RTC DS3231</t>
        </is>
      </c>
      <c r="D17" s="7" t="inlineStr">
        <is>
          <t>Local structured logging (mirrors ReflexKernel StructuredLogger).</t>
        </is>
      </c>
      <c r="E17" s="14" t="n">
        <v>1</v>
      </c>
      <c r="F17" s="15" t="n">
        <v>8</v>
      </c>
      <c r="G17" s="16">
        <f>E17*F17</f>
        <v/>
      </c>
      <c r="H17" s="6" t="inlineStr">
        <is>
          <t>Amazon</t>
        </is>
      </c>
      <c r="I17" s="8" t="inlineStr">
        <is>
          <t>To Buy</t>
        </is>
      </c>
      <c r="J17" s="15" t="inlineStr"/>
      <c r="K17" s="16">
        <f>IF(J17="","",E17*J17)</f>
        <v/>
      </c>
      <c r="L17" s="8" t="inlineStr"/>
      <c r="M17" s="7" t="inlineStr">
        <is>
          <t>data persistence, logging</t>
        </is>
      </c>
      <c r="N17" s="7" t="inlineStr">
        <is>
          <t>Useful once data pipeline is solid.</t>
        </is>
      </c>
    </row>
    <row r="18">
      <c r="A18" s="12" t="n">
        <v>4</v>
      </c>
      <c r="B18" s="18" t="inlineStr">
        <is>
          <t>Core Platform</t>
        </is>
      </c>
      <c r="C18" s="6" t="inlineStr">
        <is>
          <t>LiPo 3.7V Battery + TP4056 Charger</t>
        </is>
      </c>
      <c r="D18" s="7" t="inlineStr">
        <is>
          <t>Portable / wearable operation for real-world testing.</t>
        </is>
      </c>
      <c r="E18" s="14" t="n">
        <v>1</v>
      </c>
      <c r="F18" s="15" t="n">
        <v>8</v>
      </c>
      <c r="G18" s="16">
        <f>E18*F18</f>
        <v/>
      </c>
      <c r="H18" s="6" t="inlineStr">
        <is>
          <t>Amazon</t>
        </is>
      </c>
      <c r="I18" s="8" t="inlineStr">
        <is>
          <t>To Buy</t>
        </is>
      </c>
      <c r="J18" s="15" t="inlineStr"/>
      <c r="K18" s="16">
        <f>IF(J18="","",E18*J18)</f>
        <v/>
      </c>
      <c r="L18" s="8" t="inlineStr"/>
      <c r="M18" s="7" t="inlineStr">
        <is>
          <t>mobile nodes</t>
        </is>
      </c>
      <c r="N18" s="7" t="inlineStr">
        <is>
          <t>Or start with USB power bank.</t>
        </is>
      </c>
    </row>
    <row r="19">
      <c r="C19" s="20" t="inlineStr">
        <is>
          <t>ESTIMATED TOTALS</t>
        </is>
      </c>
      <c r="G19" s="21">
        <f>SUM(G5:G18)</f>
        <v/>
      </c>
      <c r="K19" s="21">
        <f>SUM(K5:K18)</f>
        <v/>
      </c>
    </row>
  </sheetData>
  <mergeCells count="2">
    <mergeCell ref="A2:N2"/>
    <mergeCell ref="A1:N1"/>
  </mergeCells>
  <dataValidations count="1">
    <dataValidation sqref="I5:I19" showDropDown="0" showInputMessage="0" showErrorMessage="0" allowBlank="1" type="list">
      <formula1>"To Buy,Ordered,Received,Future"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40" customWidth="1" min="3" max="3"/>
    <col width="40" customWidth="1" min="4" max="4"/>
    <col width="30" customWidth="1" min="5" max="5"/>
    <col width="40" customWidth="1" min="6" max="6"/>
  </cols>
  <sheetData>
    <row r="1">
      <c r="A1" s="10" t="inlineStr">
        <is>
          <t>🗺️ REFLEXKERNEL LAYER MAPPING GUIDE</t>
        </is>
      </c>
    </row>
    <row r="3">
      <c r="A3" s="22" t="inlineStr">
        <is>
          <t>PERCEPTION LAYER (Hardware → ReflexKernel Input)</t>
        </is>
      </c>
    </row>
    <row r="4">
      <c r="A4" t="inlineStr">
        <is>
          <t>Primary Goal: Provide fast, high-signal, real-world stimuli that trigger believable reflexes.
Recommended First Sensors: FSR array + MPU6050 + Microphone (highest immediate value for flinch/orient/tension primitives).
Data Format Recommendation: Structured JSON per tick or event, e.g.:
{"timestamp": "...", "modality": "tactile", "fsr": [12, 45, 8, 67], "mpu": {"ax":.., "ay":.., "gz":..}, "audio_peak": 0.87, "dht_temp": 28.4}
This format maps cleanly into ReflexKernel's Sensor abstraction or external input.</t>
        </is>
      </c>
    </row>
    <row r="5"/>
    <row r="6"/>
    <row r="8">
      <c r="A8" s="23" t="inlineStr">
        <is>
          <t>OUTPUT / ACTUATION LAYER (ReflexKernel → Hardware Expression)</t>
        </is>
      </c>
    </row>
    <row r="9">
      <c r="A9" t="inlineStr">
        <is>
          <t>Goal: Make internal reflex and affective states physically visible/felt.
Mapping Examples:
- flinch / startle → Short strong vibration burst + LED flash
- tension / sustained arousal → Continuous low vibration or rising LED intensity
- orient → Servo movement toward stimulus direction + LED direction cue
- affective state (high arousal/negative valence) → Red/orange LED color shift
Start simple with vibration + LEDs. Add servo later. Create a thin ActuationHub that translates ReflexKernel commands into pin outputs.</t>
        </is>
      </c>
    </row>
    <row r="10"/>
    <row r="11"/>
    <row r="13">
      <c r="A13" s="24" t="inlineStr">
        <is>
          <t>AFFECTIVE / THOUGHT-EMOTION BRIDGE</t>
        </is>
      </c>
    </row>
    <row r="14">
      <c r="A14" t="inlineStr">
        <is>
          <t>MAX30102 (HRV) + GSR provide continuous affective signals. These feed the Thought/Emotion Bridge layer rather than direct reflex triggers. Useful for longer-term state modulation and higher-intelligence interpretation.</t>
        </is>
      </c>
    </row>
    <row r="15"/>
    <row r="17">
      <c r="A17" s="3" t="inlineStr">
        <is>
          <t>INTEGRATION PATH (Recommended)</t>
        </is>
      </c>
    </row>
    <row r="18">
      <c r="A18" t="inlineStr">
        <is>
          <t>Phase 1: ESP32 collects FSR + MPU6050 + Mic → outputs structured JSON over serial/WiFi
Phase 2: Raspberry Pi receives data → feeds into ReflexKernel Perception (or simulation bridge)
Phase 3: Add MAX30102 + GSR for affective enrichment
Phase 4: Add vibration motors + NeoPixels as Output actuators driven from ReflexKernel
Phase 5: Close the loop with local LLM/agent sending thought seeds + receiving state + giving rewards/demos</t>
        </is>
      </c>
    </row>
    <row r="19"/>
    <row r="20"/>
  </sheetData>
  <mergeCells count="5">
    <mergeCell ref="A9:F11"/>
    <mergeCell ref="A18:F20"/>
    <mergeCell ref="A14:F15"/>
    <mergeCell ref="A1:F1"/>
    <mergeCell ref="A4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10" customWidth="1" min="4" max="4"/>
    <col width="10" customWidth="1" min="5" max="5"/>
    <col width="10" customWidth="1" min="6" max="6"/>
    <col width="45" customWidth="1" min="7" max="7"/>
  </cols>
  <sheetData>
    <row r="1">
      <c r="A1" s="25" t="inlineStr">
        <is>
          <t>💰 BUDGET TRACKER &amp; REFLEXKERNEL-ALIGNED PHASES</t>
        </is>
      </c>
    </row>
    <row r="3">
      <c r="A3" s="3" t="inlineStr">
        <is>
          <t>OVERALL BUDGET</t>
        </is>
      </c>
    </row>
    <row r="4">
      <c r="A4" t="inlineStr">
        <is>
          <t>Allocated Budget ($):</t>
        </is>
      </c>
      <c r="B4" s="26" t="n">
        <v>180</v>
      </c>
    </row>
    <row r="5">
      <c r="A5" t="inlineStr">
        <is>
          <t>Est. Total (Shopping_List):</t>
        </is>
      </c>
      <c r="B5" s="27">
        <f>Shopping_List!G20</f>
        <v/>
      </c>
    </row>
    <row r="6">
      <c r="A6" t="inlineStr">
        <is>
          <t>Actual Spent:</t>
        </is>
      </c>
      <c r="B6" s="27">
        <f>Shopping_List!K20</f>
        <v/>
      </c>
    </row>
    <row r="7">
      <c r="A7" t="inlineStr">
        <is>
          <t>Remaining:</t>
        </is>
      </c>
      <c r="B7" s="28">
        <f>B4-B6</f>
        <v/>
      </c>
    </row>
    <row r="9">
      <c r="A9" s="3" t="inlineStr">
        <is>
          <t>PHASED PURCHASING (ReflexKernel Priority)</t>
        </is>
      </c>
    </row>
    <row r="10">
      <c r="A10" s="29" t="inlineStr">
        <is>
          <t>Phase</t>
        </is>
      </c>
      <c r="B10" s="29" t="inlineStr">
        <is>
          <t>Focus</t>
        </is>
      </c>
      <c r="C10" s="29" t="inlineStr">
        <is>
          <t>Key Items</t>
        </is>
      </c>
      <c r="D10" s="29" t="inlineStr">
        <is>
          <t>Est. Cost</t>
        </is>
      </c>
      <c r="E10" s="29" t="inlineStr">
        <is>
          <t>Target</t>
        </is>
      </c>
      <c r="F10" s="29" t="inlineStr">
        <is>
          <t>Status</t>
        </is>
      </c>
      <c r="G10" s="29" t="inlineStr">
        <is>
          <t>ReflexKernel Goal</t>
        </is>
      </c>
    </row>
    <row r="11">
      <c r="A11" s="6" t="inlineStr">
        <is>
          <t>Phase 1: Core Perception</t>
        </is>
      </c>
      <c r="B11" s="6" t="inlineStr">
        <is>
          <t>High-signal reflexes</t>
        </is>
      </c>
      <c r="C11" s="6" t="inlineStr">
        <is>
          <t>FSR x4, MPU6050, Mic, DHT22 x2, Breadboard, ESP32</t>
        </is>
      </c>
      <c r="D11" s="30" t="n">
        <v>55</v>
      </c>
      <c r="E11" s="6" t="inlineStr">
        <is>
          <t>Week 1-2</t>
        </is>
      </c>
      <c r="F11" s="8" t="inlineStr">
        <is>
          <t>To Do</t>
        </is>
      </c>
      <c r="G11" s="6" t="inlineStr">
        <is>
          <t>Get tactile + motion + audio into structured data</t>
        </is>
      </c>
    </row>
    <row r="12">
      <c r="A12" s="6" t="inlineStr">
        <is>
          <t>Phase 2: Platform + Affective</t>
        </is>
      </c>
      <c r="B12" s="6" t="inlineStr">
        <is>
          <t>Brain + emotional signals</t>
        </is>
      </c>
      <c r="C12" s="6" t="inlineStr">
        <is>
          <t>Raspberry Pi 5, MAX30102, GSR, SD/RTC</t>
        </is>
      </c>
      <c r="D12" s="30" t="n">
        <v>110</v>
      </c>
      <c r="E12" s="6" t="inlineStr">
        <is>
          <t>Week 2-3</t>
        </is>
      </c>
      <c r="F12" s="8" t="inlineStr">
        <is>
          <t>To Do</t>
        </is>
      </c>
      <c r="G12" s="6" t="inlineStr">
        <is>
          <t>Run ReflexKernel + feed affective data</t>
        </is>
      </c>
    </row>
    <row r="13">
      <c r="A13" s="6" t="inlineStr">
        <is>
          <t>Phase 3: Physical Output</t>
        </is>
      </c>
      <c r="B13" s="6" t="inlineStr">
        <is>
          <t>Make reflexes visible/felt</t>
        </is>
      </c>
      <c r="C13" s="6" t="inlineStr">
        <is>
          <t>Vibration motors x3, NeoPixel, basic driver</t>
        </is>
      </c>
      <c r="D13" s="30" t="n">
        <v>25</v>
      </c>
      <c r="E13" s="6" t="inlineStr">
        <is>
          <t>Week 3-4</t>
        </is>
      </c>
      <c r="F13" s="8" t="inlineStr">
        <is>
          <t>To Do</t>
        </is>
      </c>
      <c r="G13" s="6" t="inlineStr">
        <is>
          <t>Hardware expression of flinch/tension/orient</t>
        </is>
      </c>
    </row>
    <row r="14">
      <c r="A14" s="6" t="inlineStr">
        <is>
          <t>Phase 4: Integration</t>
        </is>
      </c>
      <c r="B14" s="6" t="inlineStr">
        <is>
          <t>Close hardware ↔ software loop</t>
        </is>
      </c>
      <c r="C14" s="6" t="inlineStr">
        <is>
          <t>Any missing + servo if needed</t>
        </is>
      </c>
      <c r="D14" s="30" t="n">
        <v>20</v>
      </c>
      <c r="E14" s="6" t="inlineStr">
        <is>
          <t>Week 4+</t>
        </is>
      </c>
      <c r="F14" s="8" t="inlineStr">
        <is>
          <t>Future</t>
        </is>
      </c>
      <c r="G14" s="6" t="inlineStr">
        <is>
          <t>Full Perception → ReflexKernel → Output pipeline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32" customWidth="1" min="3" max="3"/>
    <col width="65" customWidth="1" min="4" max="4"/>
    <col width="55" customWidth="1" min="5" max="5"/>
    <col width="12" customWidth="1" min="6" max="6"/>
    <col width="12" customWidth="1" min="7" max="7"/>
    <col width="45" customWidth="1" min="8" max="8"/>
  </cols>
  <sheetData>
    <row r="1">
      <c r="A1" s="10" t="inlineStr">
        <is>
          <t>🧪 TESTING CHECKLIST — ReflexKernel Aligned Sensor Platform</t>
        </is>
      </c>
    </row>
    <row r="2">
      <c r="A2" s="11" t="inlineStr">
        <is>
          <t>Use this checklist as you bring up hardware and integrate with ReflexKernel. Update Status column. Yellow cells are editable.</t>
        </is>
      </c>
    </row>
    <row r="4">
      <c r="A4" s="5" t="inlineStr">
        <is>
          <t>Phase</t>
        </is>
      </c>
      <c r="B4" s="5" t="inlineStr">
        <is>
          <t>Test #</t>
        </is>
      </c>
      <c r="C4" s="5" t="inlineStr">
        <is>
          <t>Test Name</t>
        </is>
      </c>
      <c r="D4" s="5" t="inlineStr">
        <is>
          <t>What to Verify / Success Criteria</t>
        </is>
      </c>
      <c r="E4" s="5" t="inlineStr">
        <is>
          <t>Method / Tools</t>
        </is>
      </c>
      <c r="F4" s="5" t="inlineStr">
        <is>
          <t>Status</t>
        </is>
      </c>
      <c r="G4" s="5" t="inlineStr">
        <is>
          <t>Date Tested</t>
        </is>
      </c>
      <c r="H4" s="5" t="inlineStr">
        <is>
          <t>Notes / Results / Log Location</t>
        </is>
      </c>
    </row>
    <row r="5">
      <c r="A5" s="32" t="inlineStr">
        <is>
          <t>Phase 1: Hardware Validation</t>
        </is>
      </c>
      <c r="B5" s="12" t="n">
        <v>1.1</v>
      </c>
      <c r="C5" s="6" t="inlineStr">
        <is>
          <t>FSR Array Basic Test</t>
        </is>
      </c>
      <c r="D5" s="7" t="inlineStr">
        <is>
          <t>Each FSR reads analog values cleanly. No noise or stuck readings when pressed.</t>
        </is>
      </c>
      <c r="E5" s="7" t="inlineStr">
        <is>
          <t>Arduino/ESP32 analogRead + Serial Plotter or simple Python script</t>
        </is>
      </c>
      <c r="F5" s="14" t="inlineStr">
        <is>
          <t>Not Started</t>
        </is>
      </c>
      <c r="G5" s="8" t="inlineStr"/>
      <c r="H5" s="33" t="inlineStr"/>
    </row>
    <row r="6">
      <c r="A6" s="32" t="inlineStr">
        <is>
          <t>Phase 1: Hardware Validation</t>
        </is>
      </c>
      <c r="B6" s="12" t="n">
        <v>1.2</v>
      </c>
      <c r="C6" s="6" t="inlineStr">
        <is>
          <t>MPU6050 Motion Test</t>
        </is>
      </c>
      <c r="D6" s="7" t="inlineStr">
        <is>
          <t>Accel &amp; gyro values update smoothly. Detects tilt and sudden movement.</t>
        </is>
      </c>
      <c r="E6" s="7" t="inlineStr">
        <is>
          <t>I2C scan + example sketch (or library test)</t>
        </is>
      </c>
      <c r="F6" s="14" t="inlineStr">
        <is>
          <t>Not Started</t>
        </is>
      </c>
      <c r="G6" s="8" t="inlineStr"/>
      <c r="H6" s="33" t="inlineStr"/>
    </row>
    <row r="7">
      <c r="A7" s="32" t="inlineStr">
        <is>
          <t>Phase 1: Hardware Validation</t>
        </is>
      </c>
      <c r="B7" s="12" t="n">
        <v>1.3</v>
      </c>
      <c r="C7" s="6" t="inlineStr">
        <is>
          <t>Microphone Sudden Sound Test</t>
        </is>
      </c>
      <c r="D7" s="7" t="inlineStr">
        <is>
          <t>Detects loud sounds with clear peak detection. Low false positives in quiet room.</t>
        </is>
      </c>
      <c r="E7" s="7" t="inlineStr">
        <is>
          <t>MAX9814 or KY-038 test sketch + serial output</t>
        </is>
      </c>
      <c r="F7" s="14" t="inlineStr">
        <is>
          <t>Not Started</t>
        </is>
      </c>
      <c r="G7" s="8" t="inlineStr"/>
      <c r="H7" s="33" t="inlineStr"/>
    </row>
    <row r="8">
      <c r="A8" s="32" t="inlineStr">
        <is>
          <t>Phase 1: Hardware Validation</t>
        </is>
      </c>
      <c r="B8" s="12" t="n">
        <v>1.4</v>
      </c>
      <c r="C8" s="6" t="inlineStr">
        <is>
          <t>DHT22 Environmental Test</t>
        </is>
      </c>
      <c r="D8" s="7" t="inlineStr">
        <is>
          <t>Stable temperature &amp; humidity readings. Compares reasonably with room thermometer.</t>
        </is>
      </c>
      <c r="E8" s="7" t="inlineStr">
        <is>
          <t>DHT library example + multiple readings over 5 mins</t>
        </is>
      </c>
      <c r="F8" s="14" t="inlineStr">
        <is>
          <t>Not Started</t>
        </is>
      </c>
      <c r="G8" s="8" t="inlineStr"/>
      <c r="H8" s="33" t="inlineStr"/>
    </row>
    <row r="9">
      <c r="A9" s="32" t="inlineStr">
        <is>
          <t>Phase 2: Data Pipeline</t>
        </is>
      </c>
      <c r="B9" s="12" t="n">
        <v>2.1</v>
      </c>
      <c r="C9" s="6" t="inlineStr">
        <is>
          <t>Structured JSON Output</t>
        </is>
      </c>
      <c r="D9" s="7" t="inlineStr">
        <is>
          <t>ESP32/Pi outputs clean, timestamped JSON with all active sensors.</t>
        </is>
      </c>
      <c r="E9" s="7" t="inlineStr">
        <is>
          <t>Custom logging script writing to Serial + file</t>
        </is>
      </c>
      <c r="F9" s="14" t="inlineStr">
        <is>
          <t>Not Started</t>
        </is>
      </c>
      <c r="G9" s="8" t="inlineStr"/>
      <c r="H9" s="33" t="inlineStr"/>
    </row>
    <row r="10">
      <c r="A10" s="32" t="inlineStr">
        <is>
          <t>Phase 2: Data Pipeline</t>
        </is>
      </c>
      <c r="B10" s="12" t="n">
        <v>2.2</v>
      </c>
      <c r="C10" s="6" t="inlineStr">
        <is>
          <t>Wireless Data Transmission</t>
        </is>
      </c>
      <c r="D10" s="7" t="inlineStr">
        <is>
          <t>Data reliably reaches Raspberry Pi over WiFi (or serial if wired).</t>
        </is>
      </c>
      <c r="E10" s="7" t="inlineStr">
        <is>
          <t>ESP32 WiFi client + simple receiver on Pi</t>
        </is>
      </c>
      <c r="F10" s="14" t="inlineStr">
        <is>
          <t>Not Started</t>
        </is>
      </c>
      <c r="G10" s="8" t="inlineStr"/>
      <c r="H10" s="33" t="inlineStr"/>
    </row>
    <row r="11">
      <c r="A11" s="32" t="inlineStr">
        <is>
          <t>Phase 2: Data Pipeline</t>
        </is>
      </c>
      <c r="B11" s="12" t="n">
        <v>2.3</v>
      </c>
      <c r="C11" s="6" t="inlineStr">
        <is>
          <t>Data Logging &amp; Persistence</t>
        </is>
      </c>
      <c r="D11" s="7" t="inlineStr">
        <is>
          <t>Logs are written to SD card or file with timestamps and survive power cycle.</t>
        </is>
      </c>
      <c r="E11" s="7" t="inlineStr">
        <is>
          <t>MicroSD module test + RTC sync check</t>
        </is>
      </c>
      <c r="F11" s="14" t="inlineStr">
        <is>
          <t>Not Started</t>
        </is>
      </c>
      <c r="G11" s="8" t="inlineStr"/>
      <c r="H11" s="33" t="inlineStr"/>
    </row>
    <row r="12">
      <c r="A12" s="34" t="inlineStr">
        <is>
          <t>Phase 3: Reflex Mapping</t>
        </is>
      </c>
      <c r="B12" s="12" t="n">
        <v>3.1</v>
      </c>
      <c r="C12" s="6" t="inlineStr">
        <is>
          <t>Real Data → Simulation Injection</t>
        </is>
      </c>
      <c r="D12" s="7" t="inlineStr">
        <is>
          <t>Real sensor JSON can be fed into ReflexKernel (or simplified version) as stimuli.</t>
        </is>
      </c>
      <c r="E12" s="7" t="inlineStr">
        <is>
          <t>Bridge script that converts hardware JSON → ReflexKernel stimulus format</t>
        </is>
      </c>
      <c r="F12" s="14" t="inlineStr">
        <is>
          <t>Not Started</t>
        </is>
      </c>
      <c r="G12" s="8" t="inlineStr"/>
      <c r="H12" s="33" t="inlineStr"/>
    </row>
    <row r="13">
      <c r="A13" s="34" t="inlineStr">
        <is>
          <t>Phase 3: Reflex Mapping</t>
        </is>
      </c>
      <c r="B13" s="12" t="n">
        <v>3.2</v>
      </c>
      <c r="C13" s="6" t="inlineStr">
        <is>
          <t>Flinch / Startle Reflex Test</t>
        </is>
      </c>
      <c r="D13" s="7" t="inlineStr">
        <is>
          <t>Sudden pressure (FSR) or loud sound triggers appropriate flinch + blink + tension in simulation.</t>
        </is>
      </c>
      <c r="E13" s="7" t="inlineStr">
        <is>
          <t>Observe Pygame avatar + structured logs in ReflexKernel</t>
        </is>
      </c>
      <c r="F13" s="14" t="inlineStr">
        <is>
          <t>Not Started</t>
        </is>
      </c>
      <c r="G13" s="8" t="inlineStr"/>
      <c r="H13" s="33" t="inlineStr"/>
    </row>
    <row r="14">
      <c r="A14" s="34" t="inlineStr">
        <is>
          <t>Phase 3: Reflex Mapping</t>
        </is>
      </c>
      <c r="B14" s="12" t="n">
        <v>3.3</v>
      </c>
      <c r="C14" s="6" t="inlineStr">
        <is>
          <t>Orient / Motion Reflex Test</t>
        </is>
      </c>
      <c r="D14" s="7" t="inlineStr">
        <is>
          <t>Sudden movement or tilt on MPU6050 triggers orient behavior.</t>
        </is>
      </c>
      <c r="E14" s="7" t="inlineStr">
        <is>
          <t>Check reflex trace logs and avatar response</t>
        </is>
      </c>
      <c r="F14" s="14" t="inlineStr">
        <is>
          <t>Not Started</t>
        </is>
      </c>
      <c r="G14" s="8" t="inlineStr"/>
      <c r="H14" s="33" t="inlineStr"/>
    </row>
    <row r="15">
      <c r="A15" s="34" t="inlineStr">
        <is>
          <t>Phase 4: Affective Integration</t>
        </is>
      </c>
      <c r="B15" s="12" t="n">
        <v>4.1</v>
      </c>
      <c r="C15" s="6" t="inlineStr">
        <is>
          <t>MAX30102 HRV Reading</t>
        </is>
      </c>
      <c r="D15" s="7" t="inlineStr">
        <is>
          <t>Clean heart rate and SpO2 values. Reasonable resting HR detected.</t>
        </is>
      </c>
      <c r="E15" s="7" t="inlineStr">
        <is>
          <t>Library example + 2-3 minute test on finger</t>
        </is>
      </c>
      <c r="F15" s="14" t="inlineStr">
        <is>
          <t>Not Started</t>
        </is>
      </c>
      <c r="G15" s="8" t="inlineStr"/>
      <c r="H15" s="33" t="inlineStr"/>
    </row>
    <row r="16">
      <c r="A16" s="34" t="inlineStr">
        <is>
          <t>Phase 4: Affective Integration</t>
        </is>
      </c>
      <c r="B16" s="12" t="n">
        <v>4.2</v>
      </c>
      <c r="C16" s="6" t="inlineStr">
        <is>
          <t>GSR Baseline + Response</t>
        </is>
      </c>
      <c r="D16" s="7" t="inlineStr">
        <is>
          <t>Stable baseline at rest. Clear rise in conductance with mild stress/activity.</t>
        </is>
      </c>
      <c r="E16" s="7" t="inlineStr">
        <is>
          <t>Simple analog reading + calibration routine</t>
        </is>
      </c>
      <c r="F16" s="14" t="inlineStr">
        <is>
          <t>Not Started</t>
        </is>
      </c>
      <c r="G16" s="8" t="inlineStr"/>
      <c r="H16" s="33" t="inlineStr"/>
    </row>
    <row r="17">
      <c r="A17" s="34" t="inlineStr">
        <is>
          <t>Phase 4: Affective Integration</t>
        </is>
      </c>
      <c r="B17" s="12" t="n">
        <v>4.3</v>
      </c>
      <c r="C17" s="6" t="inlineStr">
        <is>
          <t>Affective State Fusion</t>
        </is>
      </c>
      <c r="D17" s="7" t="inlineStr">
        <is>
          <t>Combined HRV + GSR + other signals produce reasonable arousal estimate.</t>
        </is>
      </c>
      <c r="E17" s="7" t="inlineStr">
        <is>
          <t>Simple fusion script or feed into ReflexKernel ThoughtBridge</t>
        </is>
      </c>
      <c r="F17" s="14" t="inlineStr">
        <is>
          <t>Not Started</t>
        </is>
      </c>
      <c r="G17" s="8" t="inlineStr"/>
      <c r="H17" s="33" t="inlineStr"/>
    </row>
    <row r="18">
      <c r="A18" s="35" t="inlineStr">
        <is>
          <t>Phase 5: Physical Output</t>
        </is>
      </c>
      <c r="B18" s="12" t="n">
        <v>5.1</v>
      </c>
      <c r="C18" s="6" t="inlineStr">
        <is>
          <t>Vibration Motor Test</t>
        </is>
      </c>
      <c r="D18" s="7" t="inlineStr">
        <is>
          <t>Motors respond to commands with controllable intensity and duration.</t>
        </is>
      </c>
      <c r="E18" s="7" t="inlineStr">
        <is>
          <t>PWM or digital output test from ESP32/Arduino</t>
        </is>
      </c>
      <c r="F18" s="14" t="inlineStr">
        <is>
          <t>Not Started</t>
        </is>
      </c>
      <c r="G18" s="8" t="inlineStr"/>
      <c r="H18" s="33" t="inlineStr"/>
    </row>
    <row r="19">
      <c r="A19" s="35" t="inlineStr">
        <is>
          <t>Phase 5: Physical Output</t>
        </is>
      </c>
      <c r="B19" s="12" t="n">
        <v>5.2</v>
      </c>
      <c r="C19" s="6" t="inlineStr">
        <is>
          <t>NeoPixel / LED State Expression</t>
        </is>
      </c>
      <c r="D19" s="7" t="inlineStr">
        <is>
          <t>LEDs change color/intensity based on simulated reflex or affective state.</t>
        </is>
      </c>
      <c r="E19" s="7" t="inlineStr">
        <is>
          <t>Simple state machine driving LEDs from sensor/reflex values</t>
        </is>
      </c>
      <c r="F19" s="14" t="inlineStr">
        <is>
          <t>Not Started</t>
        </is>
      </c>
      <c r="G19" s="8" t="inlineStr"/>
      <c r="H19" s="33" t="inlineStr"/>
    </row>
    <row r="20">
      <c r="A20" s="35" t="inlineStr">
        <is>
          <t>Phase 5: Physical Output</t>
        </is>
      </c>
      <c r="B20" s="12" t="n">
        <v>5.3</v>
      </c>
      <c r="C20" s="6" t="inlineStr">
        <is>
          <t>Servo Orientation Test</t>
        </is>
      </c>
      <c r="D20" s="7" t="inlineStr">
        <is>
          <t>Servo moves in response to orientation or directional stimuli.</t>
        </is>
      </c>
      <c r="E20" s="7" t="inlineStr">
        <is>
          <t>Servo library + angle mapping from MPU6050</t>
        </is>
      </c>
      <c r="F20" s="14" t="inlineStr">
        <is>
          <t>Not Started</t>
        </is>
      </c>
      <c r="G20" s="8" t="inlineStr"/>
      <c r="H20" s="33" t="inlineStr"/>
    </row>
    <row r="21">
      <c r="A21" s="35" t="inlineStr">
        <is>
          <t>Phase 6: ReflexKernel Integration</t>
        </is>
      </c>
      <c r="B21" s="12" t="n">
        <v>6.1</v>
      </c>
      <c r="C21" s="6" t="inlineStr">
        <is>
          <t>Hardware → ReflexKernel Bridge</t>
        </is>
      </c>
      <c r="D21" s="7" t="inlineStr">
        <is>
          <t>Real sensor data flows into ReflexKernel Perception layer (or compatible interface).</t>
        </is>
      </c>
      <c r="E21" s="7" t="inlineStr">
        <is>
          <t>Custom adapter / bridge script</t>
        </is>
      </c>
      <c r="F21" s="14" t="inlineStr">
        <is>
          <t>Not Started</t>
        </is>
      </c>
      <c r="G21" s="8" t="inlineStr"/>
      <c r="H21" s="33" t="inlineStr"/>
    </row>
    <row r="22">
      <c r="A22" s="35" t="inlineStr">
        <is>
          <t>Phase 6: ReflexKernel Integration</t>
        </is>
      </c>
      <c r="B22" s="12" t="n">
        <v>6.2</v>
      </c>
      <c r="C22" s="6" t="inlineStr">
        <is>
          <t>Reflex Firing from Real Stimuli</t>
        </is>
      </c>
      <c r="D22" s="7" t="inlineStr">
        <is>
          <t>Real-world events (press FSR hard, clap, sudden move) trigger correct reflexes in ReflexKernel.</t>
        </is>
      </c>
      <c r="E22" s="7" t="inlineStr">
        <is>
          <t>Run full ReflexKernel with live data feed + observe avatar + logs</t>
        </is>
      </c>
      <c r="F22" s="14" t="inlineStr">
        <is>
          <t>Not Started</t>
        </is>
      </c>
      <c r="G22" s="8" t="inlineStr"/>
      <c r="H22" s="33" t="inlineStr"/>
    </row>
    <row r="23">
      <c r="A23" s="35" t="inlineStr">
        <is>
          <t>Phase 6: ReflexKernel Integration</t>
        </is>
      </c>
      <c r="B23" s="12" t="n">
        <v>6.3</v>
      </c>
      <c r="C23" s="6" t="inlineStr">
        <is>
          <t>Teaching Loop Test</t>
        </is>
      </c>
      <c r="D23" s="7" t="inlineStr">
        <is>
          <t>Can send thought seeds / rewards from Python and see system respond + learn.</t>
        </is>
      </c>
      <c r="E23" s="7" t="inlineStr">
        <is>
          <t>Use ReflexKernel PythonAPI or JSON command interface</t>
        </is>
      </c>
      <c r="F23" s="14" t="inlineStr">
        <is>
          <t>Not Started</t>
        </is>
      </c>
      <c r="G23" s="8" t="inlineStr"/>
      <c r="H23" s="33" t="inlineStr"/>
    </row>
    <row r="24">
      <c r="A24" s="35" t="inlineStr">
        <is>
          <t>Phase 6: ReflexKernel Integration</t>
        </is>
      </c>
      <c r="B24" s="12" t="n">
        <v>6.4</v>
      </c>
      <c r="C24" s="6" t="inlineStr">
        <is>
          <t>Local LLM / Agent Saddle Test</t>
        </is>
      </c>
      <c r="D24" s="7" t="inlineStr">
        <is>
          <t>A local LLM or agent can subscribe to state and send commands/seeds/rewards.</t>
        </is>
      </c>
      <c r="E24" s="7" t="inlineStr">
        <is>
          <t>Simple agent script using ReflexKernel interface</t>
        </is>
      </c>
      <c r="F24" s="14" t="inlineStr">
        <is>
          <t>Not Started</t>
        </is>
      </c>
      <c r="G24" s="8" t="inlineStr"/>
      <c r="H24" s="33" t="inlineStr"/>
    </row>
    <row r="27">
      <c r="A27" s="36" t="inlineStr">
        <is>
          <t>TESTING PROGRESS SUMMARY</t>
        </is>
      </c>
    </row>
    <row r="28">
      <c r="A28" t="inlineStr">
        <is>
          <t>Total Tests:</t>
        </is>
      </c>
      <c r="B28" t="n">
        <v>20</v>
      </c>
    </row>
    <row r="29">
      <c r="A29" t="inlineStr">
        <is>
          <t>Passed:</t>
        </is>
      </c>
      <c r="B29">
        <f>COUNTIF(F5:F24,"Passed")</f>
        <v/>
      </c>
    </row>
    <row r="30">
      <c r="A30" t="inlineStr">
        <is>
          <t>In Progress:</t>
        </is>
      </c>
      <c r="B30">
        <f>COUNTIF(F5:F24,"In Progress")</f>
        <v/>
      </c>
    </row>
    <row r="31">
      <c r="A31" t="inlineStr">
        <is>
          <t>Not Started:</t>
        </is>
      </c>
      <c r="B31">
        <f>COUNTIF(F5:F24,"Not Started")</f>
        <v/>
      </c>
    </row>
  </sheetData>
  <mergeCells count="3">
    <mergeCell ref="A27:H27"/>
    <mergeCell ref="A2:H2"/>
    <mergeCell ref="A1:H1"/>
  </mergeCells>
  <dataValidations count="1">
    <dataValidation sqref="F5:F24" showDropDown="0" showInputMessage="0" showErrorMessage="0" allowBlank="1" type="list">
      <formula1>"Not Started,In Progress,Passed,Failed,Blocked"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2026-06-07T17:33:45Z</dcterms:created>
  <dcterms:modified xmlns:dcterms="http://purl.org/dc/terms/" xmlns:xsi="http://www.w3.org/2001/XMLSchema-instance" xsi:type="dcterms:W3CDTF">2026-06-07T17:48:41Z</dcterms:modified>
</cp:coreProperties>
</file>