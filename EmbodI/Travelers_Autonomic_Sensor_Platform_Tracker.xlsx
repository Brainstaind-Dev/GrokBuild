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hopping_List" sheetId="2" state="visible" r:id="rId2"/>
    <sheet xmlns:r="http://schemas.openxmlformats.org/officeDocument/2006/relationships" name="Budget_Tracker" sheetId="3" state="visible" r:id="rId3"/>
    <sheet xmlns:r="http://schemas.openxmlformats.org/officeDocument/2006/relationships" name="Build_Phases_Detail" sheetId="4" state="visible" r:id="rId4"/>
    <sheet xmlns:r="http://schemas.openxmlformats.org/officeDocument/2006/relationships" name="Component_Specs" sheetId="5" state="visible" r:id="rId5"/>
    <sheet xmlns:r="http://schemas.openxmlformats.org/officeDocument/2006/relationships" name="Resources_Next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sz val="10"/>
    </font>
    <font>
      <b val="1"/>
      <color rgb="002E75B6"/>
      <sz val="11"/>
    </font>
    <font>
      <b val="1"/>
      <color rgb="00FFFFFF"/>
      <sz val="12"/>
    </font>
    <font>
      <b val="1"/>
      <color rgb="001F4E79"/>
      <sz val="16"/>
    </font>
    <font>
      <i val="1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9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pivotButton="0" quotePrefix="0" xfId="0"/>
    <xf numFmtId="164" fontId="0" fillId="0" borderId="1" pivotButton="0" quotePrefix="0" xfId="0"/>
    <xf numFmtId="0" fontId="7" fillId="0" borderId="0" pivotButton="0" quotePrefix="0" xfId="0"/>
    <xf numFmtId="164" fontId="7" fillId="5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4" fillId="3" borderId="1" pivotButton="0" quotePrefix="0" xfId="0"/>
    <xf numFmtId="0" fontId="0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14" customWidth="1" min="4" max="4"/>
    <col width="14" customWidth="1" min="5" max="5"/>
    <col width="14" customWidth="1" min="6" max="6"/>
    <col width="30" customWidth="1" min="7" max="7"/>
    <col width="15" customWidth="1" min="8" max="8"/>
  </cols>
  <sheetData>
    <row r="1">
      <c r="A1" s="1" t="inlineStr">
        <is>
          <t>🚀 TRAVELERS AUTONOMIC SENSOR PLATFORM - BUILD TRACKER</t>
        </is>
      </c>
    </row>
    <row r="2">
      <c r="A2" s="2" t="inlineStr">
        <is>
          <t>Personal Project Tracker for Bob | Created: June 07, 2026 | "If you cease to learn, you've ceased to live."</t>
        </is>
      </c>
    </row>
    <row r="4">
      <c r="A4" s="3" t="inlineStr">
        <is>
          <t>PROJECT GOALS</t>
        </is>
      </c>
    </row>
    <row r="5">
      <c r="A5" s="4" t="inlineStr">
        <is>
          <t>Build a practical, expandable sensor platform inspired by autonomic nervous system / bio-electronics concepts (electronic skin, biogels, stretchable electronics, HRV/GSR monitoring).
Core: Arduino + Raspberry Pi hybrid for data collection, processing, and integration with AI agents / Travelers lore (Teller, Ani Void, soul essence sensing, environmental storytelling).
Phased approach over ~1 month: Source components → Prototype core → Add biometrics/tactile → Wireless integration → Test &amp; expand into game dev / personal biofeedback.
Motivation: Hands-on learning, DIY electrician skills + creative AI/game dev fusion. Keep body tired from work but mind on fire!</t>
        </is>
      </c>
    </row>
    <row r="6"/>
    <row r="7"/>
    <row r="9">
      <c r="A9" s="3" t="inlineStr">
        <is>
          <t>KEY MILESTONES CHECKLIST (Update Status column)</t>
        </is>
      </c>
    </row>
    <row r="10">
      <c r="A10" s="5" t="inlineStr">
        <is>
          <t>ID</t>
        </is>
      </c>
      <c r="B10" s="5" t="inlineStr">
        <is>
          <t>Milestone</t>
        </is>
      </c>
      <c r="C10" s="5" t="inlineStr">
        <is>
          <t>Description / Success Criteria</t>
        </is>
      </c>
      <c r="D10" s="5" t="inlineStr">
        <is>
          <t>Status</t>
        </is>
      </c>
      <c r="E10" s="5" t="inlineStr">
        <is>
          <t>Target Date</t>
        </is>
      </c>
      <c r="F10" s="5" t="inlineStr">
        <is>
          <t>Actual Date</t>
        </is>
      </c>
      <c r="G10" s="5" t="inlineStr">
        <is>
          <t>Notes / Blockers</t>
        </is>
      </c>
    </row>
    <row r="11">
      <c r="A11" s="6" t="inlineStr">
        <is>
          <t>M1</t>
        </is>
      </c>
      <c r="B11" s="6" t="inlineStr">
        <is>
          <t>Core Platform Setup</t>
        </is>
      </c>
      <c r="C11" s="7" t="inlineStr">
        <is>
          <t>Arduino/RPi + breadboard + basic sensor kit assembled and blinking LED test passed</t>
        </is>
      </c>
      <c r="D11" s="8" t="inlineStr">
        <is>
          <t>To Do</t>
        </is>
      </c>
      <c r="E11" s="8" t="inlineStr"/>
      <c r="F11" s="8" t="inlineStr"/>
      <c r="G11" s="8" t="inlineStr"/>
    </row>
    <row r="12">
      <c r="A12" s="6" t="inlineStr">
        <is>
          <t>M2</t>
        </is>
      </c>
      <c r="B12" s="6" t="inlineStr">
        <is>
          <t>Shopping Complete - Phase 1 (Core)</t>
        </is>
      </c>
      <c r="C12" s="7" t="inlineStr">
        <is>
          <t>Arduino, breadboard, 37-in-1 kit, wires, ESP32 ordered/received</t>
        </is>
      </c>
      <c r="D12" s="8" t="inlineStr">
        <is>
          <t>To Do</t>
        </is>
      </c>
      <c r="E12" s="8" t="inlineStr"/>
      <c r="F12" s="8" t="inlineStr"/>
      <c r="G12" s="8" t="inlineStr"/>
    </row>
    <row r="13">
      <c r="A13" s="6" t="inlineStr">
        <is>
          <t>M3</t>
        </is>
      </c>
      <c r="B13" s="6" t="inlineStr">
        <is>
          <t>Biometric Sensors Online</t>
        </is>
      </c>
      <c r="C13" s="7" t="inlineStr">
        <is>
          <t>MAX30102 (HR/SpO2), GSR, DHT22 reading and logging data</t>
        </is>
      </c>
      <c r="D13" s="8" t="inlineStr">
        <is>
          <t>To Do</t>
        </is>
      </c>
      <c r="E13" s="8" t="inlineStr"/>
      <c r="F13" s="8" t="inlineStr"/>
      <c r="G13" s="8" t="inlineStr"/>
    </row>
    <row r="14">
      <c r="A14" s="6" t="inlineStr">
        <is>
          <t>M4</t>
        </is>
      </c>
      <c r="B14" s="6" t="inlineStr">
        <is>
          <t>Tactile / E-Skin Prototype</t>
        </is>
      </c>
      <c r="C14" s="7" t="inlineStr">
        <is>
          <t>FSR pressure sensors + MPU6050 working, basic 'touch' response</t>
        </is>
      </c>
      <c r="D14" s="8" t="inlineStr">
        <is>
          <t>To Do</t>
        </is>
      </c>
      <c r="E14" s="8" t="inlineStr"/>
      <c r="F14" s="8" t="inlineStr"/>
      <c r="G14" s="8" t="inlineStr"/>
    </row>
    <row r="15">
      <c r="A15" s="6" t="inlineStr">
        <is>
          <t>M5</t>
        </is>
      </c>
      <c r="B15" s="6" t="inlineStr">
        <is>
          <t>Wireless Data Transmission</t>
        </is>
      </c>
      <c r="C15" s="7" t="inlineStr">
        <is>
          <t>ESP32 sending sensor data to PC / local network / Pi</t>
        </is>
      </c>
      <c r="D15" s="8" t="inlineStr">
        <is>
          <t>To Do</t>
        </is>
      </c>
      <c r="E15" s="8" t="inlineStr"/>
      <c r="F15" s="8" t="inlineStr"/>
      <c r="G15" s="8" t="inlineStr"/>
    </row>
    <row r="16">
      <c r="A16" s="6" t="inlineStr">
        <is>
          <t>M6</t>
        </is>
      </c>
      <c r="B16" s="6" t="inlineStr">
        <is>
          <t>Power &amp; Portability</t>
        </is>
      </c>
      <c r="C16" s="7" t="inlineStr">
        <is>
          <t>Battery-powered wearable or portable node tested</t>
        </is>
      </c>
      <c r="D16" s="8" t="inlineStr">
        <is>
          <t>To Do</t>
        </is>
      </c>
      <c r="E16" s="8" t="inlineStr"/>
      <c r="F16" s="8" t="inlineStr"/>
      <c r="G16" s="8" t="inlineStr"/>
    </row>
    <row r="17">
      <c r="A17" s="6" t="inlineStr">
        <is>
          <t>M7</t>
        </is>
      </c>
      <c r="B17" s="6" t="inlineStr">
        <is>
          <t>Integration &amp; Lore Link</t>
        </is>
      </c>
      <c r="C17" s="7" t="inlineStr">
        <is>
          <t>Data feeding into simple script / MKDocs / game concept (e.g. Ani sensing)</t>
        </is>
      </c>
      <c r="D17" s="8" t="inlineStr">
        <is>
          <t>To Do</t>
        </is>
      </c>
      <c r="E17" s="8" t="inlineStr"/>
      <c r="F17" s="8" t="inlineStr"/>
      <c r="G17" s="8" t="inlineStr"/>
    </row>
    <row r="18">
      <c r="A18" s="6" t="inlineStr">
        <is>
          <t>M8</t>
        </is>
      </c>
      <c r="B18" s="6" t="inlineStr">
        <is>
          <t>Expansion Planning</t>
        </is>
      </c>
      <c r="C18" s="7" t="inlineStr">
        <is>
          <t>List next sensors (EEG-like, more e-skin) and full build docs</t>
        </is>
      </c>
      <c r="D18" s="8" t="inlineStr">
        <is>
          <t>To Do</t>
        </is>
      </c>
      <c r="E18" s="8" t="inlineStr"/>
      <c r="F18" s="8" t="inlineStr"/>
      <c r="G18" s="8" t="inlineStr"/>
    </row>
    <row r="20">
      <c r="A20" s="3" t="inlineStr">
        <is>
          <t>OVERALL PROGRESS</t>
        </is>
      </c>
    </row>
    <row r="21">
      <c r="A21" t="inlineStr">
        <is>
          <t>Done Milestones:</t>
        </is>
      </c>
      <c r="B21">
        <f>COUNTIF(D11:D18,"Done")</f>
        <v/>
      </c>
      <c r="C21" t="inlineStr">
        <is>
          <t>/ 8</t>
        </is>
      </c>
    </row>
    <row r="22">
      <c r="A22" t="inlineStr">
        <is>
          <t>Progress %:</t>
        </is>
      </c>
      <c r="B22" s="9">
        <f>B21/8</f>
        <v/>
      </c>
    </row>
    <row r="24">
      <c r="A24" s="3" t="inlineStr">
        <is>
          <t>QUICK REFERENCE</t>
        </is>
      </c>
    </row>
    <row r="25">
      <c r="A25" t="inlineStr">
        <is>
          <t>Previous Shopping List Summary: Arduino Uno or RPi5 + 37-in-1 kit (core) → MAX30102, GSR, DHT22, FSRs, MPU6050, ESP32, batteries, breadboard/jumpers.</t>
        </is>
      </c>
    </row>
    <row r="26">
      <c r="A26" t="inlineStr">
        <is>
          <t>Sourcing: Amazon/AliExpress for speed &amp; price; Adafruit/SparkFun for quality/docs. Phased over next month.</t>
        </is>
      </c>
    </row>
    <row r="27">
      <c r="A27" t="inlineStr">
        <is>
          <t>Safety (Electrician mode): 5V logic safe, but double-check voltages on sensors. Job site dust/UV - protect components.</t>
        </is>
      </c>
    </row>
  </sheetData>
  <mergeCells count="3">
    <mergeCell ref="A2:H2"/>
    <mergeCell ref="A5:H7"/>
    <mergeCell ref="A1:H1"/>
  </mergeCells>
  <dataValidations count="1">
    <dataValidation sqref="D11:D18" showDropDown="0" showInputMessage="0" showErrorMessage="0" allowBlank="1" type="list">
      <formula1>"To Do,In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6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</cols>
  <sheetData>
    <row r="1">
      <c r="A1" s="10" t="inlineStr">
        <is>
          <t>🛒 SHOPPING LIST &amp; SOURCING TRACKER - Autonomic Sensor Platform</t>
        </is>
      </c>
    </row>
    <row r="2">
      <c r="A2" s="11" t="inlineStr">
        <is>
          <t>Update Status, Actual Cost, and Notes as you source. Yellow cells = your inputs. Formulas auto-calculate totals.</t>
        </is>
      </c>
    </row>
    <row r="4">
      <c r="A4" s="5" t="inlineStr">
        <is>
          <t>Priority</t>
        </is>
      </c>
      <c r="B4" s="5" t="inlineStr">
        <is>
          <t>Component</t>
        </is>
      </c>
      <c r="C4" s="5" t="inlineStr">
        <is>
          <t>Description / Why</t>
        </is>
      </c>
      <c r="D4" s="5" t="inlineStr">
        <is>
          <t>Qty</t>
        </is>
      </c>
      <c r="E4" s="5" t="inlineStr">
        <is>
          <t>Est. Unit $</t>
        </is>
      </c>
      <c r="F4" s="5" t="inlineStr">
        <is>
          <t>Est. Total $</t>
        </is>
      </c>
      <c r="G4" s="5" t="inlineStr">
        <is>
          <t>Source / Link Notes</t>
        </is>
      </c>
      <c r="H4" s="5" t="inlineStr">
        <is>
          <t>Status</t>
        </is>
      </c>
      <c r="I4" s="5" t="inlineStr">
        <is>
          <t>Actual Unit $</t>
        </is>
      </c>
      <c r="J4" s="5" t="inlineStr">
        <is>
          <t>Actual Total $</t>
        </is>
      </c>
      <c r="K4" s="5" t="inlineStr">
        <is>
          <t>Date Received</t>
        </is>
      </c>
      <c r="L4" s="5" t="inlineStr">
        <is>
          <t>Notes / Substitutions</t>
        </is>
      </c>
    </row>
    <row r="5">
      <c r="A5" s="12" t="n">
        <v>1</v>
      </c>
      <c r="B5" s="6" t="inlineStr">
        <is>
          <t>Arduino Uno R3 (or clone)</t>
        </is>
      </c>
      <c r="C5" s="7" t="inlineStr">
        <is>
          <t>Core MCU for sensor reading. Clones fine to start.</t>
        </is>
      </c>
      <c r="D5" s="13" t="n">
        <v>1</v>
      </c>
      <c r="E5" s="14" t="n">
        <v>12</v>
      </c>
      <c r="F5" s="15">
        <f>D5*E5</f>
        <v/>
      </c>
      <c r="G5" s="6" t="inlineStr">
        <is>
          <t>Amazon/AliExpress</t>
        </is>
      </c>
      <c r="H5" s="8" t="inlineStr">
        <is>
          <t>To Buy</t>
        </is>
      </c>
      <c r="I5" s="14" t="inlineStr"/>
      <c r="J5" s="15">
        <f>IF(I5="","",D5*I5)</f>
        <v/>
      </c>
      <c r="K5" s="8" t="inlineStr"/>
      <c r="L5" s="8" t="inlineStr">
        <is>
          <t>Start with clone for cost</t>
        </is>
      </c>
    </row>
    <row r="6">
      <c r="A6" s="12" t="n">
        <v>1</v>
      </c>
      <c r="B6" s="6" t="inlineStr">
        <is>
          <t>Raspberry Pi 5 (4GB or 8GB)</t>
        </is>
      </c>
      <c r="C6" s="7" t="inlineStr">
        <is>
          <t>For data logging, AI processing, network. Optional but powerful.</t>
        </is>
      </c>
      <c r="D6" s="13" t="n">
        <v>1</v>
      </c>
      <c r="E6" s="14" t="n">
        <v>75</v>
      </c>
      <c r="F6" s="15">
        <f>D6*E6</f>
        <v/>
      </c>
      <c r="G6" s="6" t="inlineStr">
        <is>
          <t>Official or reseller</t>
        </is>
      </c>
      <c r="H6" s="8" t="inlineStr">
        <is>
          <t>To Buy</t>
        </is>
      </c>
      <c r="I6" s="14" t="inlineStr"/>
      <c r="J6" s="15">
        <f>IF(I6="","",D6*I6)</f>
        <v/>
      </c>
      <c r="K6" s="8" t="inlineStr"/>
      <c r="L6" s="8" t="inlineStr">
        <is>
          <t>If budget allows; start Arduino first</t>
        </is>
      </c>
    </row>
    <row r="7">
      <c r="A7" s="12" t="n">
        <v>1</v>
      </c>
      <c r="B7" s="6" t="inlineStr">
        <is>
          <t>37-in-1 Sensor Kit (KEYESTUDIO/ELEGOO)</t>
        </is>
      </c>
      <c r="C7" s="7" t="inlineStr">
        <is>
          <t>Best value starter: includes temp, motion, sound, touch, etc. Tutorials included.</t>
        </is>
      </c>
      <c r="D7" s="13" t="n">
        <v>1</v>
      </c>
      <c r="E7" s="14" t="n">
        <v>25</v>
      </c>
      <c r="F7" s="15">
        <f>D7*E7</f>
        <v/>
      </c>
      <c r="G7" s="6" t="inlineStr">
        <is>
          <t>Amazon</t>
        </is>
      </c>
      <c r="H7" s="8" t="inlineStr">
        <is>
          <t>To Buy</t>
        </is>
      </c>
      <c r="I7" s="14" t="inlineStr"/>
      <c r="J7" s="15">
        <f>IF(I7="","",D7*I7)</f>
        <v/>
      </c>
      <c r="K7" s="8" t="inlineStr"/>
      <c r="L7" s="8" t="inlineStr">
        <is>
          <t>High priority - gets many basics fast</t>
        </is>
      </c>
    </row>
    <row r="8">
      <c r="A8" s="12" t="n">
        <v>1</v>
      </c>
      <c r="B8" s="6" t="inlineStr">
        <is>
          <t>Breadboard 400pt + Jumper Wires Kit</t>
        </is>
      </c>
      <c r="C8" s="7" t="inlineStr">
        <is>
          <t>Essential prototyping. Get good quality wires.</t>
        </is>
      </c>
      <c r="D8" s="13" t="n">
        <v>1</v>
      </c>
      <c r="E8" s="14" t="n">
        <v>8</v>
      </c>
      <c r="F8" s="15">
        <f>D8*E8</f>
        <v/>
      </c>
      <c r="G8" s="6" t="inlineStr">
        <is>
          <t>Amazon/Adafruit</t>
        </is>
      </c>
      <c r="H8" s="8" t="inlineStr">
        <is>
          <t>To Buy</t>
        </is>
      </c>
      <c r="I8" s="14" t="inlineStr"/>
      <c r="J8" s="15">
        <f>IF(I8="","",D8*I8)</f>
        <v/>
      </c>
      <c r="K8" s="8" t="inlineStr"/>
      <c r="L8" s="8" t="inlineStr"/>
    </row>
    <row r="9">
      <c r="A9" s="12" t="n">
        <v>2</v>
      </c>
      <c r="B9" s="6" t="inlineStr">
        <is>
          <t>MAX30102 Pulse/HR/SpO2 Sensor Module</t>
        </is>
      </c>
      <c r="C9" s="7" t="inlineStr">
        <is>
          <t>Heart rate variability &amp; blood oxygen - core autonomic metric.</t>
        </is>
      </c>
      <c r="D9" s="13" t="n">
        <v>1</v>
      </c>
      <c r="E9" s="14" t="n">
        <v>8</v>
      </c>
      <c r="F9" s="15">
        <f>D9*E9</f>
        <v/>
      </c>
      <c r="G9" s="6" t="inlineStr">
        <is>
          <t>Amazon/AliExpress</t>
        </is>
      </c>
      <c r="H9" s="8" t="inlineStr">
        <is>
          <t>To Buy</t>
        </is>
      </c>
      <c r="I9" s="14" t="inlineStr"/>
      <c r="J9" s="15">
        <f>IF(I9="","",D9*I9)</f>
        <v/>
      </c>
      <c r="K9" s="8" t="inlineStr"/>
      <c r="L9" s="8" t="inlineStr">
        <is>
          <t>I2C easy</t>
        </is>
      </c>
    </row>
    <row r="10">
      <c r="A10" s="12" t="n">
        <v>2</v>
      </c>
      <c r="B10" s="6" t="inlineStr">
        <is>
          <t>GSR / Galvanic Skin Response Module (Grove or generic)</t>
        </is>
      </c>
      <c r="C10" s="7" t="inlineStr">
        <is>
          <t>Skin conductance / sweat / emotional arousal sensing.</t>
        </is>
      </c>
      <c r="D10" s="13" t="n">
        <v>1</v>
      </c>
      <c r="E10" s="14" t="n">
        <v>8</v>
      </c>
      <c r="F10" s="15">
        <f>D10*E10</f>
        <v/>
      </c>
      <c r="G10" s="6" t="inlineStr">
        <is>
          <t>Seeed/Amazon</t>
        </is>
      </c>
      <c r="H10" s="8" t="inlineStr">
        <is>
          <t>To Buy</t>
        </is>
      </c>
      <c r="I10" s="14" t="inlineStr"/>
      <c r="J10" s="15">
        <f>IF(I10="","",D10*I10)</f>
        <v/>
      </c>
      <c r="K10" s="8" t="inlineStr"/>
      <c r="L10" s="8" t="inlineStr">
        <is>
          <t>Good for biofeedback</t>
        </is>
      </c>
    </row>
    <row r="11">
      <c r="A11" s="12" t="n">
        <v>2</v>
      </c>
      <c r="B11" s="6" t="inlineStr">
        <is>
          <t>DHT22 Temperature &amp; Humidity Sensor</t>
        </is>
      </c>
      <c r="C11" s="7" t="inlineStr">
        <is>
          <t>Accurate body/env temp &amp; humidity.</t>
        </is>
      </c>
      <c r="D11" s="13" t="n">
        <v>2</v>
      </c>
      <c r="E11" s="14" t="n">
        <v>5</v>
      </c>
      <c r="F11" s="15">
        <f>D11*E11</f>
        <v/>
      </c>
      <c r="G11" s="6" t="inlineStr">
        <is>
          <t>Amazon</t>
        </is>
      </c>
      <c r="H11" s="8" t="inlineStr">
        <is>
          <t>To Buy</t>
        </is>
      </c>
      <c r="I11" s="14" t="inlineStr"/>
      <c r="J11" s="15">
        <f>IF(I11="","",D11*I11)</f>
        <v/>
      </c>
      <c r="K11" s="8" t="inlineStr"/>
      <c r="L11" s="8" t="inlineStr">
        <is>
          <t>One for body, one for room</t>
        </is>
      </c>
    </row>
    <row r="12">
      <c r="A12" s="12" t="n">
        <v>2</v>
      </c>
      <c r="B12" s="6" t="inlineStr">
        <is>
          <t>FSR Force Sensitive Resistor (0.5" round, Interlink or equiv.)</t>
        </is>
      </c>
      <c r="C12" s="7" t="inlineStr">
        <is>
          <t>Pressure/tactile sensing for e-skin prototypes.</t>
        </is>
      </c>
      <c r="D12" s="13" t="n">
        <v>4</v>
      </c>
      <c r="E12" s="14" t="n">
        <v>6</v>
      </c>
      <c r="F12" s="15">
        <f>D12*E12</f>
        <v/>
      </c>
      <c r="G12" s="6" t="inlineStr">
        <is>
          <t>Adafruit/SparkFun/Amazon</t>
        </is>
      </c>
      <c r="H12" s="8" t="inlineStr">
        <is>
          <t>To Buy</t>
        </is>
      </c>
      <c r="I12" s="14" t="inlineStr"/>
      <c r="J12" s="15">
        <f>IF(I12="","",D12*I12)</f>
        <v/>
      </c>
      <c r="K12" s="8" t="inlineStr"/>
      <c r="L12" s="8" t="inlineStr">
        <is>
          <t>Buy 4 for multi-point touch</t>
        </is>
      </c>
    </row>
    <row r="13">
      <c r="A13" s="12" t="n">
        <v>2</v>
      </c>
      <c r="B13" s="6" t="inlineStr">
        <is>
          <t>MPU6050 6-Axis Accel/Gyro Module (GY-521)</t>
        </is>
      </c>
      <c r="C13" s="7" t="inlineStr">
        <is>
          <t>Motion, posture, vibration sensing.</t>
        </is>
      </c>
      <c r="D13" s="13" t="n">
        <v>1</v>
      </c>
      <c r="E13" s="14" t="n">
        <v>4</v>
      </c>
      <c r="F13" s="15">
        <f>D13*E13</f>
        <v/>
      </c>
      <c r="G13" s="6" t="inlineStr">
        <is>
          <t>Amazon</t>
        </is>
      </c>
      <c r="H13" s="8" t="inlineStr">
        <is>
          <t>To Buy</t>
        </is>
      </c>
      <c r="I13" s="14" t="inlineStr"/>
      <c r="J13" s="15">
        <f>IF(I13="","",D13*I13)</f>
        <v/>
      </c>
      <c r="K13" s="8" t="inlineStr"/>
      <c r="L13" s="8" t="inlineStr">
        <is>
          <t>Very cheap, I2C</t>
        </is>
      </c>
    </row>
    <row r="14">
      <c r="A14" s="12" t="n">
        <v>3</v>
      </c>
      <c r="B14" s="6" t="inlineStr">
        <is>
          <t>ESP32 DevKit V1 or similar</t>
        </is>
      </c>
      <c r="C14" s="7" t="inlineStr">
        <is>
          <t>WiFi + Bluetooth for wireless data to PC/Pi.</t>
        </is>
      </c>
      <c r="D14" s="13" t="n">
        <v>1</v>
      </c>
      <c r="E14" s="14" t="n">
        <v>6</v>
      </c>
      <c r="F14" s="15">
        <f>D14*E14</f>
        <v/>
      </c>
      <c r="G14" s="6" t="inlineStr">
        <is>
          <t>Amazon/AliExpress</t>
        </is>
      </c>
      <c r="H14" s="8" t="inlineStr">
        <is>
          <t>To Buy</t>
        </is>
      </c>
      <c r="I14" s="14" t="inlineStr"/>
      <c r="J14" s="15">
        <f>IF(I14="","",D14*I14)</f>
        <v/>
      </c>
      <c r="K14" s="8" t="inlineStr"/>
      <c r="L14" s="8" t="inlineStr">
        <is>
          <t>Dual core, great value</t>
        </is>
      </c>
    </row>
    <row r="15">
      <c r="A15" s="12" t="n">
        <v>3</v>
      </c>
      <c r="B15" s="6" t="inlineStr">
        <is>
          <t>LiPo Battery 3.7V + TP4056 Charger Module</t>
        </is>
      </c>
      <c r="C15" s="7" t="inlineStr">
        <is>
          <t>Portable power for wearable tests.</t>
        </is>
      </c>
      <c r="D15" s="13" t="n">
        <v>1</v>
      </c>
      <c r="E15" s="14" t="n">
        <v>8</v>
      </c>
      <c r="F15" s="15">
        <f>D15*E15</f>
        <v/>
      </c>
      <c r="G15" s="6" t="inlineStr">
        <is>
          <t>Amazon</t>
        </is>
      </c>
      <c r="H15" s="8" t="inlineStr">
        <is>
          <t>To Buy</t>
        </is>
      </c>
      <c r="I15" s="14" t="inlineStr"/>
      <c r="J15" s="15">
        <f>IF(I15="","",D15*I15)</f>
        <v/>
      </c>
      <c r="K15" s="8" t="inlineStr"/>
      <c r="L15" s="8" t="inlineStr">
        <is>
          <t>Or use power bank first</t>
        </is>
      </c>
    </row>
    <row r="16">
      <c r="A16" s="12" t="n">
        <v>3</v>
      </c>
      <c r="B16" s="6" t="inlineStr">
        <is>
          <t>MicroSD Card Module + 16GB+ Card</t>
        </is>
      </c>
      <c r="C16" s="7" t="inlineStr">
        <is>
          <t>Local data logging on Arduino/Pi.</t>
        </is>
      </c>
      <c r="D16" s="13" t="n">
        <v>1</v>
      </c>
      <c r="E16" s="14" t="n">
        <v>5</v>
      </c>
      <c r="F16" s="15">
        <f>D16*E16</f>
        <v/>
      </c>
      <c r="G16" s="6" t="inlineStr">
        <is>
          <t>Amazon</t>
        </is>
      </c>
      <c r="H16" s="8" t="inlineStr">
        <is>
          <t>To Buy</t>
        </is>
      </c>
      <c r="I16" s="14" t="inlineStr"/>
      <c r="J16" s="15">
        <f>IF(I16="","",D16*I16)</f>
        <v/>
      </c>
      <c r="K16" s="8" t="inlineStr"/>
      <c r="L16" s="8" t="inlineStr"/>
    </row>
    <row r="17">
      <c r="A17" s="12" t="n">
        <v>3</v>
      </c>
      <c r="B17" s="6" t="inlineStr">
        <is>
          <t>RTC DS3231 Module</t>
        </is>
      </c>
      <c r="C17" s="7" t="inlineStr">
        <is>
          <t>Accurate timestamps for logged data.</t>
        </is>
      </c>
      <c r="D17" s="13" t="n">
        <v>1</v>
      </c>
      <c r="E17" s="14" t="n">
        <v>3</v>
      </c>
      <c r="F17" s="15">
        <f>D17*E17</f>
        <v/>
      </c>
      <c r="G17" s="6" t="inlineStr">
        <is>
          <t>Amazon</t>
        </is>
      </c>
      <c r="H17" s="8" t="inlineStr">
        <is>
          <t>To Buy</t>
        </is>
      </c>
      <c r="I17" s="14" t="inlineStr"/>
      <c r="J17" s="15">
        <f>IF(I17="","",D17*I17)</f>
        <v/>
      </c>
      <c r="K17" s="8" t="inlineStr"/>
      <c r="L17" s="8" t="inlineStr"/>
    </row>
    <row r="18">
      <c r="A18" s="12" t="n">
        <v>4</v>
      </c>
      <c r="B18" s="6" t="inlineStr">
        <is>
          <t>Assorted Resistors, LEDs, Buttons Kit</t>
        </is>
      </c>
      <c r="C18" s="7" t="inlineStr">
        <is>
          <t>For testing circuits, indicators, pull-ups.</t>
        </is>
      </c>
      <c r="D18" s="13" t="n">
        <v>1</v>
      </c>
      <c r="E18" s="14" t="n">
        <v>6</v>
      </c>
      <c r="F18" s="15">
        <f>D18*E18</f>
        <v/>
      </c>
      <c r="G18" s="6" t="inlineStr">
        <is>
          <t>Amazon</t>
        </is>
      </c>
      <c r="H18" s="8" t="inlineStr">
        <is>
          <t>To Buy</t>
        </is>
      </c>
      <c r="I18" s="14" t="inlineStr"/>
      <c r="J18" s="15">
        <f>IF(I18="","",D18*I18)</f>
        <v/>
      </c>
      <c r="K18" s="8" t="inlineStr"/>
      <c r="L18" s="8" t="inlineStr"/>
    </row>
    <row r="19">
      <c r="A19" s="12" t="n">
        <v>4</v>
      </c>
      <c r="B19" s="6" t="inlineStr">
        <is>
          <t>PIR Motion Sensor + HC-SR04 Ultrasonic</t>
        </is>
      </c>
      <c r="C19" s="7" t="inlineStr">
        <is>
          <t>Presence and distance for environmental awareness.</t>
        </is>
      </c>
      <c r="D19" s="13" t="n">
        <v>1</v>
      </c>
      <c r="E19" s="14" t="n">
        <v>4</v>
      </c>
      <c r="F19" s="15">
        <f>D19*E19</f>
        <v/>
      </c>
      <c r="G19" s="6" t="inlineStr">
        <is>
          <t>Amazon</t>
        </is>
      </c>
      <c r="H19" s="8" t="inlineStr">
        <is>
          <t>To Buy</t>
        </is>
      </c>
      <c r="I19" s="14" t="inlineStr"/>
      <c r="J19" s="15">
        <f>IF(I19="","",D19*I19)</f>
        <v/>
      </c>
      <c r="K19" s="8" t="inlineStr"/>
      <c r="L19" s="8" t="inlineStr">
        <is>
          <t>From kit or separate</t>
        </is>
      </c>
    </row>
    <row r="20">
      <c r="A20" s="12" t="n">
        <v>5</v>
      </c>
      <c r="B20" s="6" t="inlineStr">
        <is>
          <t>Optional: e-Health Shield or MySignals (advanced)</t>
        </is>
      </c>
      <c r="C20" s="7" t="inlineStr">
        <is>
          <t>Pre-made biometric shield if you want plug-and-play later.</t>
        </is>
      </c>
      <c r="D20" s="13" t="n">
        <v>0</v>
      </c>
      <c r="E20" s="14" t="n">
        <v>80</v>
      </c>
      <c r="F20" s="15">
        <f>D20*E20</f>
        <v/>
      </c>
      <c r="G20" s="6" t="inlineStr">
        <is>
          <t>Libelium resellers</t>
        </is>
      </c>
      <c r="H20" s="8" t="inlineStr">
        <is>
          <t>Future</t>
        </is>
      </c>
      <c r="I20" s="14" t="inlineStr"/>
      <c r="J20" s="15">
        <f>IF(I20="","",D20*I20)</f>
        <v/>
      </c>
      <c r="K20" s="8" t="inlineStr"/>
      <c r="L20" s="8" t="inlineStr">
        <is>
          <t>Nice-to-have, not essential for start</t>
        </is>
      </c>
    </row>
    <row r="21">
      <c r="A21" s="16" t="inlineStr">
        <is>
          <t>TOTALS</t>
        </is>
      </c>
      <c r="F21" s="17">
        <f>SUM(F5:F20)</f>
        <v/>
      </c>
      <c r="J21" s="17">
        <f>SUM(J5:J20)</f>
        <v/>
      </c>
    </row>
  </sheetData>
  <mergeCells count="2">
    <mergeCell ref="A2:L2"/>
    <mergeCell ref="A1:L1"/>
  </mergeCells>
  <dataValidations count="1">
    <dataValidation sqref="H5:H20" showDropDown="0" showInputMessage="0" showErrorMessage="0" allowBlank="1" type="list">
      <formula1>"To Buy,Ordered,Received,Future,Substituted"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0" t="inlineStr">
        <is>
          <t>💰 BUDGET TRACKER &amp; PHASED PURCHASING</t>
        </is>
      </c>
    </row>
    <row r="3">
      <c r="A3" s="3" t="inlineStr">
        <is>
          <t>OVERALL BUDGET</t>
        </is>
      </c>
    </row>
    <row r="4">
      <c r="A4" t="inlineStr">
        <is>
          <t>Total Allocated Budget ($):</t>
        </is>
      </c>
      <c r="B4" s="18" t="n">
        <v>150</v>
      </c>
    </row>
    <row r="5">
      <c r="A5" t="inlineStr">
        <is>
          <t>Est. Total from Shopping List:</t>
        </is>
      </c>
      <c r="B5" s="19">
        <f>Shopping_List!F20</f>
        <v/>
      </c>
    </row>
    <row r="6">
      <c r="A6" t="inlineStr">
        <is>
          <t>Actual Spent So Far:</t>
        </is>
      </c>
      <c r="B6" s="19">
        <f>Shopping_List!J20</f>
        <v/>
      </c>
    </row>
    <row r="7">
      <c r="A7" t="inlineStr">
        <is>
          <t>Remaining Budget:</t>
        </is>
      </c>
      <c r="B7" s="20">
        <f>B4-B6</f>
        <v/>
      </c>
    </row>
    <row r="9">
      <c r="A9" s="3" t="inlineStr">
        <is>
          <t>PHASED PURCHASING PLAN (Recommended)</t>
        </is>
      </c>
    </row>
    <row r="10">
      <c r="A10" s="21" t="inlineStr">
        <is>
          <t>Phase</t>
        </is>
      </c>
      <c r="B10" s="21" t="inlineStr">
        <is>
          <t>Focus</t>
        </is>
      </c>
      <c r="C10" s="21" t="inlineStr">
        <is>
          <t>Key Items</t>
        </is>
      </c>
      <c r="D10" s="21" t="inlineStr">
        <is>
          <t>Est. Cost</t>
        </is>
      </c>
      <c r="E10" s="21" t="inlineStr">
        <is>
          <t>Target Week</t>
        </is>
      </c>
      <c r="F10" s="21" t="inlineStr">
        <is>
          <t>Status</t>
        </is>
      </c>
      <c r="G10" s="21" t="inlineStr">
        <is>
          <t>Notes</t>
        </is>
      </c>
    </row>
    <row r="11">
      <c r="A11" s="6" t="inlineStr">
        <is>
          <t>Phase 1: Foundation</t>
        </is>
      </c>
      <c r="B11" s="6" t="inlineStr">
        <is>
          <t>Core MCU + Prototyping Basics</t>
        </is>
      </c>
      <c r="C11" s="6" t="inlineStr">
        <is>
          <t>Arduino clone or RPi, 37-in-1 kit, breadboard + wires</t>
        </is>
      </c>
      <c r="D11" s="14" t="n">
        <v>45</v>
      </c>
      <c r="E11" s="6" t="inlineStr">
        <is>
          <t>Week 1</t>
        </is>
      </c>
      <c r="F11" s="8" t="inlineStr">
        <is>
          <t>To Do</t>
        </is>
      </c>
      <c r="G11" s="6" t="inlineStr">
        <is>
          <t>Get blinking LED + basic sensor read this week!</t>
        </is>
      </c>
    </row>
    <row r="12">
      <c r="A12" s="6" t="inlineStr">
        <is>
          <t>Phase 2: Autonomic Core</t>
        </is>
      </c>
      <c r="B12" s="6" t="inlineStr">
        <is>
          <t>Biometric Sensors</t>
        </is>
      </c>
      <c r="C12" s="6" t="inlineStr">
        <is>
          <t>MAX30102, GSR, DHT22 (x2)</t>
        </is>
      </c>
      <c r="D12" s="14" t="n">
        <v>26</v>
      </c>
      <c r="E12" s="6" t="inlineStr">
        <is>
          <t>Week 2</t>
        </is>
      </c>
      <c r="F12" s="8" t="inlineStr">
        <is>
          <t>To Do</t>
        </is>
      </c>
      <c r="G12" s="6" t="inlineStr">
        <is>
          <t>Focus on HRV + skin response data logging</t>
        </is>
      </c>
    </row>
    <row r="13">
      <c r="A13" s="6" t="inlineStr">
        <is>
          <t>Phase 3: Touch &amp; Motion</t>
        </is>
      </c>
      <c r="B13" s="6" t="inlineStr">
        <is>
          <t>Tactile / E-Skin + Motion</t>
        </is>
      </c>
      <c r="C13" s="6" t="inlineStr">
        <is>
          <t>4x FSR, MPU6050</t>
        </is>
      </c>
      <c r="D13" s="14" t="n">
        <v>28</v>
      </c>
      <c r="E13" s="6" t="inlineStr">
        <is>
          <t>Week 3</t>
        </is>
      </c>
      <c r="F13" s="8" t="inlineStr">
        <is>
          <t>To Do</t>
        </is>
      </c>
      <c r="G13" s="6" t="inlineStr">
        <is>
          <t>Build simple pressure array demo</t>
        </is>
      </c>
    </row>
    <row r="14">
      <c r="A14" s="6" t="inlineStr">
        <is>
          <t>Phase 4: Wireless &amp; Power</t>
        </is>
      </c>
      <c r="B14" s="6" t="inlineStr">
        <is>
          <t>Connectivity + Portability</t>
        </is>
      </c>
      <c r="C14" s="6" t="inlineStr">
        <is>
          <t>ESP32, LiPo + charger, SD + RTC</t>
        </is>
      </c>
      <c r="D14" s="14" t="n">
        <v>22</v>
      </c>
      <c r="E14" s="6" t="inlineStr">
        <is>
          <t>Week 3-4</t>
        </is>
      </c>
      <c r="F14" s="8" t="inlineStr">
        <is>
          <t>To Do</t>
        </is>
      </c>
      <c r="G14" s="6" t="inlineStr">
        <is>
          <t>Send data wirelessly, battery test</t>
        </is>
      </c>
    </row>
    <row r="15">
      <c r="A15" s="6" t="inlineStr">
        <is>
          <t>Phase 5: Polish &amp; Expand</t>
        </is>
      </c>
      <c r="B15" s="6" t="inlineStr">
        <is>
          <t>Integration + Future</t>
        </is>
      </c>
      <c r="C15" s="6" t="inlineStr">
        <is>
          <t>Any missing, extras, enclosure ideas</t>
        </is>
      </c>
      <c r="D15" s="14" t="n">
        <v>20</v>
      </c>
      <c r="E15" s="6" t="inlineStr">
        <is>
          <t>Week 4+</t>
        </is>
      </c>
      <c r="F15" s="8" t="inlineStr">
        <is>
          <t>Future</t>
        </is>
      </c>
      <c r="G15" s="6" t="inlineStr">
        <is>
          <t>Tie into Travelers lore / MKDocs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80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0" t="inlineStr">
        <is>
          <t>🔧 DETAILED BUILD PHASES &amp; STEP-BY-STEP</t>
        </is>
      </c>
    </row>
    <row r="3">
      <c r="A3" s="3" t="inlineStr">
        <is>
          <t>PHASE 1: FOUNDATION (Week 1 Goal: Working Arduino + First Sensor Read)</t>
        </is>
      </c>
    </row>
    <row r="4">
      <c r="A4" s="22" t="inlineStr">
        <is>
          <t>Steps:
1. Unbox Arduino (or Pi) + breadboard. Install Arduino IDE (or Raspberry Pi OS + Thonny/Python).
2. Wire simple LED blink on pin 13 (or GPIO). Upload/test code. Celebrate first win!
3. Open 37-in-1 kit. Pick DHT22 or PIR. Wire it (3-4 pins typical: VCC, GND, Signal). Use library examples.
4. Log data to Serial Monitor (Arduino) or file (Pi). Note readings.
5. Document: Take photos of wiring, save code snippets in this sheet or MKDocs.
Resources: Arduino.cc tutorials, kit PDF/videos, Adafruit learn guides for sensors.
Blockers to watch: Wrong voltage (most 5V or 3.3V - check!), loose wires, library install.</t>
        </is>
      </c>
    </row>
    <row r="5"/>
    <row r="6"/>
    <row r="8">
      <c r="A8" s="3" t="inlineStr">
        <is>
          <t>PHASE 2: AUTONOMIC CORE (Week 2 - Biometrics Live)</t>
        </is>
      </c>
    </row>
    <row r="9">
      <c r="A9" s="23" t="inlineStr">
        <is>
          <t>Steps:
1. Wire MAX30102 (I2C: SDA/SCL + VCC/GND). Use SparkFun or Adafruit library. Get HR &amp; SpO2.
2. Add GSR module. Calibrate on your skin (resting vs. after activity). Log changes.
3. DHT22 for temp. Compare body vs ambient.
4. Combine: Simple sketch that prints all three to Serial + timestamp.
5. Optional: Plot in Serial Plotter or export to CSV for Excel analysis.
Tip: Start with one sensor at a time. Use pull-up resistors on I2C if needed (4.7k typical).</t>
        </is>
      </c>
    </row>
    <row r="10"/>
    <row r="11"/>
    <row r="13">
      <c r="A13" s="3" t="inlineStr">
        <is>
          <t>PHASE 3: TACTILE &amp; MOTION (Week 3 - E-Skin Feel)</t>
        </is>
      </c>
    </row>
    <row r="14">
      <c r="A14" s="23" t="inlineStr">
        <is>
          <t>Steps:
1. Wire single FSR with 10k resistor (voltage divider). Read analog value, map to 0-100 'pressure'.
2. Add 2-4 FSRs in array. Print all values. Simple 'touch map'.
3. MPU6050: I2C, get accel/gyro data. Detect tap or tilt.
4. Combine: When pressure detected + motion, trigger LED or serial message 'Contact!'.
5. Stretch goal: Simple threshold for 'nervous system alert' (e.g. sudden pressure = high priority).</t>
        </is>
      </c>
    </row>
    <row r="15"/>
    <row r="16"/>
    <row r="18">
      <c r="A18" s="3" t="inlineStr">
        <is>
          <t>PHASE 4: WIRELESS &amp; POWER (Week 3-4 - Mobile Node)</t>
        </is>
      </c>
    </row>
    <row r="19">
      <c r="A19" s="23" t="inlineStr">
        <is>
          <t>Steps:
1. ESP32 setup: Blink, connect to WiFi, send simple HTTP or MQTT message.
2. Integrate previous sensors to ESP32 (many have good libraries).
3. Battery: Wire LiPo + charger. Test runtime. Add deep sleep for power saving.
4. Data flow: ESP32 → local Python script on PC/Pi that logs to CSV or your MKDocs.
5. Test portable: Carry node around job site or home, log 'autonomic' data (your stress/motion during day).</t>
        </is>
      </c>
    </row>
    <row r="20"/>
    <row r="21"/>
    <row r="23">
      <c r="A23" s="3" t="inlineStr">
        <is>
          <t>PHASE 5: INTEGRATION &amp; LORE (Ongoing - Make it Yours)</t>
        </is>
      </c>
    </row>
    <row r="24">
      <c r="A24" s="4" t="inlineStr">
        <is>
          <t>Ideas:
- Feed sensor data into simple Python script that generates 'soul essence' readings or environmental lore fragments for Travelers.
- Use in game dev: Real sensor input controls virtual character state (Ani Void 'feeling' the world).
- Personal: Biofeedback for electrician work - track HRV during physical tasks, correlate with fatigue.
- Next hardware: Add more FSRs for full 'skin' patch, or explore cheap EEG/EMG modules later.
- Document everything in your Living Lore Bible (MKDocs) - wiring diagrams, code, photos, reflections.
Remember: This is your nervous system for the universe you're building. Keep learning, keep building.</t>
        </is>
      </c>
    </row>
    <row r="25"/>
    <row r="26"/>
  </sheetData>
  <mergeCells count="6">
    <mergeCell ref="A1:G1"/>
    <mergeCell ref="A4:G6"/>
    <mergeCell ref="A19:G21"/>
    <mergeCell ref="A24:G26"/>
    <mergeCell ref="A14:G16"/>
    <mergeCell ref="A9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45" customWidth="1" min="4" max="4"/>
    <col width="50" customWidth="1" min="5" max="5"/>
    <col width="40" customWidth="1" min="6" max="6"/>
  </cols>
  <sheetData>
    <row r="1">
      <c r="A1" s="10" t="inlineStr">
        <is>
          <t>📋 COMPONENT SPECS, PINOUTS &amp; QUICK START CODE</t>
        </is>
      </c>
    </row>
    <row r="3">
      <c r="A3" s="21" t="inlineStr">
        <is>
          <t>Component</t>
        </is>
      </c>
      <c r="B3" s="21" t="inlineStr">
        <is>
          <t>Function</t>
        </is>
      </c>
      <c r="C3" s="21" t="inlineStr">
        <is>
          <t>Interface</t>
        </is>
      </c>
      <c r="D3" s="21" t="inlineStr">
        <is>
          <t>Wiring Notes</t>
        </is>
      </c>
      <c r="E3" s="21" t="inlineStr">
        <is>
          <t>Quick Code Approach</t>
        </is>
      </c>
      <c r="F3" s="21" t="inlineStr">
        <is>
          <t>Tips / Common Issues</t>
        </is>
      </c>
    </row>
    <row r="4">
      <c r="A4" s="6" t="inlineStr">
        <is>
          <t>MAX30102</t>
        </is>
      </c>
      <c r="B4" s="6" t="inlineStr">
        <is>
          <t>Pulse/HR/SpO2</t>
        </is>
      </c>
      <c r="C4" s="6" t="inlineStr">
        <is>
          <t>I2C (SDA/SCL)</t>
        </is>
      </c>
      <c r="D4" s="7" t="inlineStr">
        <is>
          <t>VCC=5V/3.3V, GND, SDA, SCL. Optional INT pin.</t>
        </is>
      </c>
      <c r="E4" s="7" t="inlineStr">
        <is>
          <t>Use SparkFun MAX3010x library. Example: read Red/IR values → calculate BPM &amp; SpO2. Serial print.</t>
        </is>
      </c>
      <c r="F4" s="7" t="inlineStr">
        <is>
          <t>Start with library example 'Example1_Basic_Readings'</t>
        </is>
      </c>
    </row>
    <row r="5">
      <c r="A5" s="6" t="inlineStr">
        <is>
          <t>GSR</t>
        </is>
      </c>
      <c r="B5" s="6" t="inlineStr">
        <is>
          <t>Skin Conductance</t>
        </is>
      </c>
      <c r="C5" s="6" t="inlineStr">
        <is>
          <t>Analog out</t>
        </is>
      </c>
      <c r="D5" s="7" t="inlineStr">
        <is>
          <t>VCC, GND, Signal (A0). Some have digital too.</t>
        </is>
      </c>
      <c r="E5" s="7" t="inlineStr">
        <is>
          <t>Read analog value. Higher = more conductance (arousal). Calibrate baseline on your skin at rest.</t>
        </is>
      </c>
      <c r="F5" s="7" t="inlineStr">
        <is>
          <t>Simple analogRead + map to 0-100</t>
        </is>
      </c>
    </row>
    <row r="6">
      <c r="A6" s="6" t="inlineStr">
        <is>
          <t>FSR</t>
        </is>
      </c>
      <c r="B6" s="6" t="inlineStr">
        <is>
          <t>Force/Pressure</t>
        </is>
      </c>
      <c r="C6" s="6" t="inlineStr">
        <is>
          <t>Analog (needs resistor)</t>
        </is>
      </c>
      <c r="D6" s="7" t="inlineStr">
        <is>
          <t>Two pins. Use 10k pull-down resistor for voltage divider on analog pin.</t>
        </is>
      </c>
      <c r="E6" s="7" t="inlineStr">
        <is>
          <t>analogRead → map(0,1023,0,100) for % pressure. Multiple FSRs = array.</t>
        </is>
      </c>
      <c r="F6" s="7" t="inlineStr">
        <is>
          <t>Adafruit FSR tutorial excellent</t>
        </is>
      </c>
    </row>
    <row r="7">
      <c r="A7" s="6" t="inlineStr">
        <is>
          <t>MPU6050</t>
        </is>
      </c>
      <c r="B7" s="6" t="inlineStr">
        <is>
          <t>Accel + Gyro</t>
        </is>
      </c>
      <c r="C7" s="6" t="inlineStr">
        <is>
          <t>I2C</t>
        </is>
      </c>
      <c r="D7" s="7" t="inlineStr">
        <is>
          <t>VCC, GND, SDA, SCL. AD0 for address if multiple.</t>
        </is>
      </c>
      <c r="E7" s="7" t="inlineStr">
        <is>
          <t>Use MPU6050 library or DMP. Get ax,ay,az, gx,gy,gz. Detect motion thresholds.</t>
        </is>
      </c>
      <c r="F7" s="7" t="inlineStr">
        <is>
          <t>Jeff Rowberg I2Cdevlib popular</t>
        </is>
      </c>
    </row>
    <row r="8">
      <c r="A8" s="6" t="inlineStr">
        <is>
          <t>DHT22</t>
        </is>
      </c>
      <c r="B8" s="6" t="inlineStr">
        <is>
          <t>Temp + Humidity</t>
        </is>
      </c>
      <c r="C8" s="6" t="inlineStr">
        <is>
          <t>Digital 1-wire</t>
        </is>
      </c>
      <c r="D8" s="7" t="inlineStr">
        <is>
          <t>VCC, GND, Data. 4.7k pull-up on data recommended.</t>
        </is>
      </c>
      <c r="E8" s="7" t="inlineStr">
        <is>
          <t>DHT library. readTemperature(), readHumidity(). Slow (2s interval).</t>
        </is>
      </c>
      <c r="F8" s="7" t="inlineStr">
        <is>
          <t>Simple and reliable</t>
        </is>
      </c>
    </row>
    <row r="9">
      <c r="A9" s="6" t="inlineStr">
        <is>
          <t>ESP32</t>
        </is>
      </c>
      <c r="B9" s="6" t="inlineStr">
        <is>
          <t>WiFi/BT MCU</t>
        </is>
      </c>
      <c r="C9" s="6" t="inlineStr">
        <is>
          <t>Many GPIO + I2C/SPI</t>
        </is>
      </c>
      <c r="D9" s="7" t="inlineStr">
        <is>
          <t>3.3V logic! Use level shifters if mixing with 5V Arduino sensors.</t>
        </is>
      </c>
      <c r="E9" s="7" t="inlineStr">
        <is>
          <t>Arduino IDE + ESP32 board package. WiFi.begin, HTTPClient or AsyncWebServer.</t>
        </is>
      </c>
      <c r="F9" s="7" t="inlineStr">
        <is>
          <t>Great for standalone wireless nodes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40" customWidth="1" min="4" max="4"/>
  </cols>
  <sheetData>
    <row r="1">
      <c r="A1" s="10" t="inlineStr">
        <is>
          <t>📚 RESOURCES, LINKS &amp; NEXT STEPS</t>
        </is>
      </c>
    </row>
    <row r="3">
      <c r="A3" s="3" t="inlineStr">
        <is>
          <t>RECOMMENDED LEARNING RESOURCES</t>
        </is>
      </c>
    </row>
    <row r="4">
      <c r="A4" s="21" t="inlineStr">
        <is>
          <t>Topic</t>
        </is>
      </c>
      <c r="B4" s="21" t="inlineStr">
        <is>
          <t>Where to Find</t>
        </is>
      </c>
      <c r="C4" s="21" t="inlineStr">
        <is>
          <t>Notes</t>
        </is>
      </c>
    </row>
    <row r="5">
      <c r="A5" s="6" t="inlineStr">
        <is>
          <t>Arduino Basics</t>
        </is>
      </c>
      <c r="B5" s="6" t="inlineStr">
        <is>
          <t>arduino.cc/en/Tutorial</t>
        </is>
      </c>
      <c r="C5" s="6" t="inlineStr">
        <is>
          <t>Official getting started + examples</t>
        </is>
      </c>
    </row>
    <row r="6">
      <c r="A6" s="6" t="inlineStr">
        <is>
          <t>37-in-1 Kit Tutorials</t>
        </is>
      </c>
      <c r="B6" s="6" t="inlineStr">
        <is>
          <t>Search 'KEYESTUDIO 37 in 1' on YouTube</t>
        </is>
      </c>
      <c r="C6" s="6" t="inlineStr">
        <is>
          <t>Many video walkthroughs</t>
        </is>
      </c>
    </row>
    <row r="7">
      <c r="A7" s="6" t="inlineStr">
        <is>
          <t>MAX30102</t>
        </is>
      </c>
      <c r="B7" s="6" t="inlineStr">
        <is>
          <t>SparkFun or Adafruit MAX3010x guide</t>
        </is>
      </c>
      <c r="C7" s="6" t="inlineStr">
        <is>
          <t>Excellent libraries and examples</t>
        </is>
      </c>
    </row>
    <row r="8">
      <c r="A8" s="6" t="inlineStr">
        <is>
          <t>FSR / E-Skin Ideas</t>
        </is>
      </c>
      <c r="B8" s="6" t="inlineStr">
        <is>
          <t>Adafruit FSR tutorial + KOBAKANT textile sensors</t>
        </is>
      </c>
      <c r="C8" s="6" t="inlineStr">
        <is>
          <t>Inspiration for flexible skin</t>
        </is>
      </c>
    </row>
    <row r="9">
      <c r="A9" s="6" t="inlineStr">
        <is>
          <t>ESP32 WiFi</t>
        </is>
      </c>
      <c r="B9" s="6" t="inlineStr">
        <is>
          <t>Random Nerd Tutorials ESP32</t>
        </is>
      </c>
      <c r="C9" s="6" t="inlineStr">
        <is>
          <t>Best practical WiFi/MQTT guides</t>
        </is>
      </c>
    </row>
    <row r="10">
      <c r="A10" s="6" t="inlineStr">
        <is>
          <t>I2C Wiring Tips</t>
        </is>
      </c>
      <c r="B10" s="6" t="inlineStr">
        <is>
          <t>Adafruit I2C guide</t>
        </is>
      </c>
      <c r="C10" s="6" t="inlineStr">
        <is>
          <t>Pull-ups, addressing, troubleshooting</t>
        </is>
      </c>
    </row>
    <row r="11">
      <c r="A11" s="6" t="inlineStr">
        <is>
          <t>Travelers Lore Tie-in</t>
        </is>
      </c>
      <c r="B11" s="6" t="inlineStr">
        <is>
          <t>Your brainstainddev.com/travelers + MKDocs Living Lore Bible</t>
        </is>
      </c>
      <c r="C11" s="6" t="inlineStr">
        <is>
          <t>Integrate sensor data into world-building</t>
        </is>
      </c>
    </row>
    <row r="13">
      <c r="A13" s="3" t="inlineStr">
        <is>
          <t>NEXT STEPS AFTER THIS SPREADSHEET</t>
        </is>
      </c>
    </row>
    <row r="14">
      <c r="A14" s="4" t="inlineStr">
        <is>
          <t>1. Review Shopping_List tab. Mark priorities, adjust quantities if needed. Start ordering Phase 1 items this week.
2. Set up your workspace: Clear bench space, good lighting, multimeter handy (as electrician you have this!).
3. Install Arduino IDE + libraries for first sensors (DHT, MAX3010x).
4. Update Dashboard milestones as you complete them. Celebrate small wins - they compound.
5. When data is flowing: Think about visualization (Serial Plotter → Python matplotlib → web dashboard later).
6. Lore integration: What does 'autonomic sensing' mean for Ani Void or Teller's world? Jot ideas in Notes column.
7. Share progress on X or with Jojo/son if it feels right - accountability + joy.
You're building something real that bridges your physical work skills with the cosmic creative fire. This platform can literally become part of the Travelers universe. Let's make it breathe.</t>
        </is>
      </c>
    </row>
    <row r="15"/>
    <row r="16"/>
    <row r="17"/>
    <row r="19">
      <c r="A19" s="3" t="inlineStr">
        <is>
          <t>SAFETY &amp; PRACTICAL NOTES (Electrician Apprentice Edition)</t>
        </is>
      </c>
    </row>
    <row r="20">
      <c r="A20" t="inlineStr">
        <is>
          <t>• All these sensors are low-voltage (3.3V-5V). Safe, but still respect polarity and don't short power rails.</t>
        </is>
      </c>
    </row>
    <row r="21">
      <c r="A21" t="inlineStr">
        <is>
          <t>• On job sites: Protect boards from dust, sparks, moisture. Use project boxes or bags when transporting.</t>
        </is>
      </c>
    </row>
    <row r="22">
      <c r="A22" t="inlineStr">
        <is>
          <t>• Vision: Good lighting + magnification if needed for small pins. Your aging eyes deserve it.</t>
        </is>
      </c>
    </row>
    <row r="23">
      <c r="A23" t="inlineStr">
        <is>
          <t>• Power: Use proper USB or regulated supplies. LiPo charging - follow module instructions to avoid fire risk.</t>
        </is>
      </c>
    </row>
    <row r="24">
      <c r="A24" t="inlineStr">
        <is>
          <t>• Fun first: If something doesn't work immediately, debug one wire at a time. The learning is the point.</t>
        </is>
      </c>
    </row>
  </sheetData>
  <mergeCells count="2">
    <mergeCell ref="A14:D17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2026-06-07T17:20:28Z</dcterms:created>
  <dcterms:modified xmlns:dcterms="http://purl.org/dc/terms/" xmlns:xsi="http://www.w3.org/2001/XMLSchema-instance" xsi:type="dcterms:W3CDTF">2026-06-07T17:20:29Z</dcterms:modified>
</cp:coreProperties>
</file>